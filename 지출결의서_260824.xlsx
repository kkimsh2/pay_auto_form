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ster\Downloads\"/>
    </mc:Choice>
  </mc:AlternateContent>
  <bookViews>
    <workbookView xWindow="0" yWindow="0" windowWidth="21570" windowHeight="12090"/>
  </bookViews>
  <sheets>
    <sheet name="2026 지출결의서" sheetId="1" r:id="rId1"/>
    <sheet name="Sheet1" sheetId="2" state="hidden" r:id="rId2"/>
  </sheets>
  <definedNames>
    <definedName name="_xlnm.Print_Area" localSheetId="0">'2026 지출결의서'!$A$1:$N$76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1" l="1"/>
  <c r="I8" i="1" s="1"/>
  <c r="E8" i="1" s="1"/>
  <c r="B11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D6" i="1"/>
  <c r="D7" i="1" s="1"/>
  <c r="B60" i="1" l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2" i="1"/>
</calcChain>
</file>

<file path=xl/sharedStrings.xml><?xml version="1.0" encoding="utf-8"?>
<sst xmlns="http://schemas.openxmlformats.org/spreadsheetml/2006/main" count="82" uniqueCount="60">
  <si>
    <t>사업소명</t>
    <phoneticPr fontId="4" type="noConversion"/>
  </si>
  <si>
    <r>
      <t>(</t>
    </r>
    <r>
      <rPr>
        <sz val="11"/>
        <color theme="1"/>
        <rFont val="맑은 고딕"/>
        <family val="2"/>
        <scheme val="minor"/>
      </rPr>
      <t>단위 : KRW)</t>
    </r>
    <phoneticPr fontId="4" type="noConversion"/>
  </si>
  <si>
    <t>결
재</t>
  </si>
  <si>
    <t>작성일</t>
  </si>
  <si>
    <t>기안부서</t>
  </si>
  <si>
    <t>결제요청일</t>
  </si>
  <si>
    <t>기안자</t>
  </si>
  <si>
    <t>요청자</t>
  </si>
  <si>
    <t>금액</t>
  </si>
  <si>
    <t>일금</t>
  </si>
  <si>
    <t>순번</t>
  </si>
  <si>
    <t>품목(사유)</t>
  </si>
  <si>
    <t>업체명</t>
  </si>
  <si>
    <t>수량</t>
  </si>
  <si>
    <t>단가</t>
  </si>
  <si>
    <t>공급가액</t>
  </si>
  <si>
    <t>결제방법</t>
  </si>
  <si>
    <t>증빙구분</t>
  </si>
  <si>
    <t>계좌정보</t>
  </si>
  <si>
    <t>은행</t>
  </si>
  <si>
    <t>계좌번호</t>
  </si>
  <si>
    <t>예금주</t>
  </si>
  <si>
    <t>법인구분</t>
  </si>
  <si>
    <t>마지막 업데이트: 2025-01-14</t>
    <phoneticPr fontId="4" type="noConversion"/>
  </si>
  <si>
    <t>유한 뽀삐 엠보싱두루마리화장지50m</t>
  </si>
  <si>
    <t>마포걸레/극세사두레로[청색,경편A]</t>
  </si>
  <si>
    <t>고무장갑 태화 썬밴[중]핑크</t>
  </si>
  <si>
    <t>유한락스(오리지날) 18kg[16.6L]</t>
  </si>
  <si>
    <t>봉투 소[백] 58*75[1000장]</t>
  </si>
  <si>
    <t>태화 니트릴장갑플러스 100매 M</t>
  </si>
  <si>
    <t>봉투 38*50 [백색]막지[1묶음100장]</t>
  </si>
  <si>
    <t>무궁화 넘버원800g</t>
  </si>
  <si>
    <t>크리넥스 스카트핑크로션 솝물비누4L</t>
  </si>
  <si>
    <t>OPP테이프(백색)40M/A급</t>
  </si>
  <si>
    <t>크리넥스®드라이셀*47223 F250S</t>
  </si>
  <si>
    <t>지 출 결 의 서</t>
    <phoneticPr fontId="4" type="noConversion"/>
  </si>
  <si>
    <t>-</t>
    <phoneticPr fontId="4" type="noConversion"/>
  </si>
  <si>
    <t>상기와 같이 지출결의서를 작성 품의합니다.</t>
    <phoneticPr fontId="4" type="noConversion"/>
  </si>
  <si>
    <t>2. 첨     부</t>
    <phoneticPr fontId="4" type="noConversion"/>
  </si>
  <si>
    <t>1. 주요내용</t>
    <phoneticPr fontId="4" type="noConversion"/>
  </si>
  <si>
    <t>끝.</t>
    <phoneticPr fontId="4" type="noConversion"/>
  </si>
  <si>
    <t>본사</t>
    <phoneticPr fontId="4" type="noConversion"/>
  </si>
  <si>
    <t>내 역</t>
    <phoneticPr fontId="4" type="noConversion"/>
  </si>
  <si>
    <t>합 계</t>
    <phoneticPr fontId="4" type="noConversion"/>
  </si>
  <si>
    <t>대표이사</t>
    <phoneticPr fontId="4" type="noConversion"/>
  </si>
  <si>
    <t>-</t>
    <phoneticPr fontId="4" type="noConversion"/>
  </si>
  <si>
    <t>제목 : [GSI][본사][경영지원본부] 소마미술관 월주차 정기권 신청 건</t>
    <phoneticPr fontId="4" type="noConversion"/>
  </si>
  <si>
    <t>카드</t>
    <phoneticPr fontId="4" type="noConversion"/>
  </si>
  <si>
    <t>카드 결제영수증</t>
    <phoneticPr fontId="4" type="noConversion"/>
  </si>
  <si>
    <t>김세희 사원</t>
    <phoneticPr fontId="4" type="noConversion"/>
  </si>
  <si>
    <t>인사총무팀</t>
    <phoneticPr fontId="4" type="noConversion"/>
  </si>
  <si>
    <t>올림픽공원 월주차 신청
(268저1178 - 회장님 차량)</t>
    <phoneticPr fontId="4" type="noConversion"/>
  </si>
  <si>
    <t>올림픽공원 월주차 신청
(29루0608 - 김인태 상무님 차량)</t>
    <phoneticPr fontId="4" type="noConversion"/>
  </si>
  <si>
    <t xml:space="preserve">  가. 268저1178 신청정보 사진
  나. 29루0608 신청정보 사진</t>
    <phoneticPr fontId="4" type="noConversion"/>
  </si>
  <si>
    <t>한국체육산업개발㈜</t>
    <phoneticPr fontId="4" type="noConversion"/>
  </si>
  <si>
    <t xml:space="preserve">  가. 소마미술관 월주차 정기권 신청 건.
  나. 주차사용 만료기한은 2026. 8. 27 까지 이며, 총 360,000원 임.
  다. 상세정보
    1) 268저1178
      가) 차종: 벤츠s클래스
      나) 사용자: 함정길 회장님
      다) 구역: 소마미술관 지하주차장
      라) 주차기간: 2026-09-28~2026-10-27
      마) 비용: 180,000원
      바) 법인구분: KB개발
    2) 29루0608
      가) 차종: 맥스크루즈
      나) 사용자: 김인태 상무님
      다) 구역: 소마미술관 지하주차장
      라) 주차기간: 2026-09-28~2026-10-27
      마) 비용: 180,000원
      바) 법인구분: GSI
  라. 총 금액 : 360,000원</t>
    <phoneticPr fontId="4" type="noConversion"/>
  </si>
  <si>
    <t>부가세</t>
    <phoneticPr fontId="4" type="noConversion"/>
  </si>
  <si>
    <t>비고</t>
    <phoneticPr fontId="4" type="noConversion"/>
  </si>
  <si>
    <t>소 계</t>
    <phoneticPr fontId="4" type="noConversion"/>
  </si>
  <si>
    <t>배송비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</si>
</sst>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&quot;₩&quot;#,##0;[Red]\-&quot;₩&quot;#,##0"/>
    <numFmt numFmtId="41" formatCode="_-* #,##0_-;\-* #,##0_-;_-* &quot;-&quot;_-;_-@_-"/>
    <numFmt numFmtId="176" formatCode="&quot;₩&quot;#,##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sz val="10"/>
      <color theme="1"/>
      <name val="Arial"/>
      <family val="2"/>
    </font>
    <font>
      <b/>
      <sz val="10"/>
      <color theme="3" tint="0.249977111117893"/>
      <name val="맑은 고딕"/>
      <family val="3"/>
      <charset val="129"/>
      <scheme val="minor"/>
    </font>
    <font>
      <b/>
      <sz val="9"/>
      <color rgb="FF0000CC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dotted">
        <color rgb="FF000000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41" fontId="5" fillId="0" borderId="0" xfId="1" applyFont="1" applyAlignment="1">
      <alignment horizontal="right" vertical="center"/>
    </xf>
    <xf numFmtId="41" fontId="6" fillId="0" borderId="0" xfId="1" applyFont="1" applyAlignment="1">
      <alignment horizontal="right" vertical="center" wrapText="1"/>
    </xf>
    <xf numFmtId="0" fontId="7" fillId="0" borderId="2" xfId="0" applyFont="1" applyBorder="1" applyAlignment="1">
      <alignment horizontal="center" vertical="center" wrapText="1"/>
    </xf>
    <xf numFmtId="41" fontId="7" fillId="0" borderId="2" xfId="1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1" fontId="6" fillId="2" borderId="2" xfId="1" applyFont="1" applyFill="1" applyBorder="1" applyAlignment="1">
      <alignment horizontal="center" vertical="center" wrapText="1"/>
    </xf>
    <xf numFmtId="41" fontId="6" fillId="2" borderId="2" xfId="1" applyFont="1" applyFill="1" applyBorder="1" applyAlignment="1">
      <alignment horizontal="right" vertical="center" wrapText="1"/>
    </xf>
    <xf numFmtId="41" fontId="6" fillId="0" borderId="2" xfId="1" applyFont="1" applyFill="1" applyBorder="1" applyAlignment="1">
      <alignment horizontal="right" vertical="center" wrapText="1"/>
    </xf>
    <xf numFmtId="41" fontId="6" fillId="2" borderId="2" xfId="1" applyFont="1" applyFill="1" applyBorder="1" applyAlignment="1">
      <alignment vertical="center" wrapText="1"/>
    </xf>
    <xf numFmtId="41" fontId="6" fillId="0" borderId="2" xfId="1" applyFont="1" applyBorder="1" applyAlignment="1">
      <alignment vertical="center" wrapText="1"/>
    </xf>
    <xf numFmtId="41" fontId="6" fillId="0" borderId="2" xfId="1" applyFont="1" applyFill="1" applyBorder="1" applyAlignment="1">
      <alignment horizontal="center" vertical="center" wrapText="1"/>
    </xf>
    <xf numFmtId="41" fontId="6" fillId="0" borderId="2" xfId="1" applyFont="1" applyBorder="1" applyAlignment="1">
      <alignment horizontal="right" vertical="center" wrapText="1"/>
    </xf>
    <xf numFmtId="6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shrinkToFit="1"/>
    </xf>
    <xf numFmtId="14" fontId="6" fillId="0" borderId="0" xfId="0" applyNumberFormat="1" applyFont="1">
      <alignment vertical="center"/>
    </xf>
    <xf numFmtId="0" fontId="6" fillId="2" borderId="2" xfId="1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0" borderId="2" xfId="0" quotePrefix="1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0" borderId="2" xfId="0" applyFont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 wrapText="1"/>
    </xf>
    <xf numFmtId="176" fontId="7" fillId="3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14" fontId="10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176" fontId="7" fillId="5" borderId="3" xfId="1" applyNumberFormat="1" applyFont="1" applyFill="1" applyBorder="1" applyAlignment="1">
      <alignment horizontal="center" vertical="center" wrapText="1"/>
    </xf>
    <xf numFmtId="176" fontId="7" fillId="5" borderId="5" xfId="1" applyNumberFormat="1" applyFont="1" applyFill="1" applyBorder="1" applyAlignment="1">
      <alignment horizontal="center" vertical="center" wrapText="1"/>
    </xf>
    <xf numFmtId="176" fontId="7" fillId="5" borderId="4" xfId="1" applyNumberFormat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6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6"/>
  <sheetViews>
    <sheetView showGridLines="0" tabSelected="1" view="pageBreakPreview" zoomScaleNormal="100" zoomScaleSheetLayoutView="100" workbookViewId="0">
      <selection activeCell="I61" sqref="I61"/>
    </sheetView>
  </sheetViews>
  <sheetFormatPr defaultColWidth="9" defaultRowHeight="16.5" x14ac:dyDescent="0.3"/>
  <cols>
    <col min="1" max="1" width="2.125" style="1" customWidth="1"/>
    <col min="2" max="2" width="5.625" style="1" customWidth="1"/>
    <col min="3" max="4" width="9" style="1"/>
    <col min="5" max="5" width="9" style="1" customWidth="1"/>
    <col min="6" max="6" width="21.125" style="1" customWidth="1"/>
    <col min="7" max="7" width="6.5" style="1" bestFit="1" customWidth="1"/>
    <col min="8" max="8" width="11.5" style="4" bestFit="1" customWidth="1"/>
    <col min="9" max="9" width="10.625" style="1" bestFit="1" customWidth="1"/>
    <col min="10" max="10" width="10.5" style="1" bestFit="1" customWidth="1"/>
    <col min="11" max="11" width="10.5" style="1" customWidth="1"/>
    <col min="12" max="12" width="5.625" style="1" customWidth="1"/>
    <col min="13" max="13" width="15.625" style="1" customWidth="1"/>
    <col min="14" max="15" width="2.125" style="1" customWidth="1"/>
    <col min="16" max="16" width="10.125" style="1" bestFit="1" customWidth="1"/>
    <col min="17" max="19" width="9" style="1"/>
    <col min="20" max="20" width="10.5" style="1" bestFit="1" customWidth="1"/>
    <col min="21" max="16384" width="9" style="1"/>
  </cols>
  <sheetData>
    <row r="1" spans="2:14" x14ac:dyDescent="0.3"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2:14" x14ac:dyDescent="0.3">
      <c r="B2" s="1" t="s">
        <v>1</v>
      </c>
      <c r="C2" s="2"/>
      <c r="J2" s="19" t="s">
        <v>23</v>
      </c>
      <c r="K2" s="19"/>
      <c r="L2" s="19"/>
      <c r="M2" s="19"/>
    </row>
    <row r="3" spans="2:14" ht="30" customHeight="1" x14ac:dyDescent="0.3">
      <c r="B3" s="40" t="s">
        <v>35</v>
      </c>
      <c r="C3" s="40"/>
      <c r="D3" s="40"/>
      <c r="E3" s="40"/>
      <c r="F3" s="40"/>
      <c r="G3" s="40"/>
      <c r="H3" s="40"/>
      <c r="I3" s="40"/>
      <c r="J3" s="40"/>
      <c r="K3" s="22"/>
      <c r="L3" s="26" t="s">
        <v>2</v>
      </c>
      <c r="M3" s="6" t="s">
        <v>44</v>
      </c>
    </row>
    <row r="4" spans="2:14" ht="51" customHeight="1" x14ac:dyDescent="0.3">
      <c r="B4" s="40"/>
      <c r="C4" s="40"/>
      <c r="D4" s="40"/>
      <c r="E4" s="40"/>
      <c r="F4" s="40"/>
      <c r="G4" s="40"/>
      <c r="H4" s="40"/>
      <c r="I4" s="40"/>
      <c r="J4" s="40"/>
      <c r="K4" s="22"/>
      <c r="L4" s="26"/>
      <c r="M4" s="38"/>
    </row>
    <row r="5" spans="2:14" ht="27.6" customHeight="1" x14ac:dyDescent="0.3">
      <c r="B5" s="41" t="s">
        <v>46</v>
      </c>
      <c r="C5" s="42"/>
      <c r="D5" s="42"/>
      <c r="E5" s="42"/>
      <c r="F5" s="42"/>
      <c r="G5" s="42"/>
      <c r="H5" s="42"/>
      <c r="I5" s="42"/>
      <c r="J5" s="43"/>
      <c r="K5" s="23"/>
      <c r="L5" s="26"/>
      <c r="M5" s="38"/>
    </row>
    <row r="6" spans="2:14" ht="25.15" customHeight="1" x14ac:dyDescent="0.3">
      <c r="B6" s="26" t="s">
        <v>3</v>
      </c>
      <c r="C6" s="26"/>
      <c r="D6" s="39">
        <f ca="1">TODAY()</f>
        <v>46293</v>
      </c>
      <c r="E6" s="39"/>
      <c r="F6" s="6" t="s">
        <v>4</v>
      </c>
      <c r="G6" s="24" t="s">
        <v>50</v>
      </c>
      <c r="H6" s="24"/>
      <c r="I6" s="6" t="s">
        <v>0</v>
      </c>
      <c r="J6" s="24" t="s">
        <v>41</v>
      </c>
      <c r="K6" s="24"/>
      <c r="L6" s="24"/>
      <c r="M6" s="24"/>
      <c r="N6" s="3"/>
    </row>
    <row r="7" spans="2:14" ht="25.15" customHeight="1" x14ac:dyDescent="0.3">
      <c r="B7" s="26" t="s">
        <v>5</v>
      </c>
      <c r="C7" s="26"/>
      <c r="D7" s="44">
        <f ca="1">D6</f>
        <v>46293</v>
      </c>
      <c r="E7" s="44"/>
      <c r="F7" s="6" t="s">
        <v>6</v>
      </c>
      <c r="G7" s="24" t="s">
        <v>49</v>
      </c>
      <c r="H7" s="24"/>
      <c r="I7" s="6" t="s">
        <v>7</v>
      </c>
      <c r="J7" s="24" t="s">
        <v>49</v>
      </c>
      <c r="K7" s="24"/>
      <c r="L7" s="24"/>
      <c r="M7" s="24"/>
      <c r="N7" s="3"/>
    </row>
    <row r="8" spans="2:14" ht="25.15" customHeight="1" x14ac:dyDescent="0.3">
      <c r="B8" s="26" t="s">
        <v>8</v>
      </c>
      <c r="C8" s="26"/>
      <c r="D8" s="6" t="s">
        <v>9</v>
      </c>
      <c r="E8" s="45" t="str">
        <f>NUMBERSTRING(I8, 1) &amp; "원 정"</f>
        <v>삼십육만원 정</v>
      </c>
      <c r="F8" s="45"/>
      <c r="G8" s="45"/>
      <c r="H8" s="45"/>
      <c r="I8" s="35">
        <f>I62</f>
        <v>360000</v>
      </c>
      <c r="J8" s="35"/>
      <c r="K8" s="35"/>
      <c r="L8" s="35"/>
      <c r="M8" s="35"/>
    </row>
    <row r="9" spans="2:14" ht="25.15" customHeight="1" x14ac:dyDescent="0.3">
      <c r="B9" s="26" t="s">
        <v>42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</row>
    <row r="10" spans="2:14" ht="25.15" customHeight="1" x14ac:dyDescent="0.3">
      <c r="B10" s="6" t="s">
        <v>10</v>
      </c>
      <c r="C10" s="26" t="s">
        <v>11</v>
      </c>
      <c r="D10" s="26"/>
      <c r="E10" s="26"/>
      <c r="F10" s="6" t="s">
        <v>12</v>
      </c>
      <c r="G10" s="6" t="s">
        <v>13</v>
      </c>
      <c r="H10" s="7" t="s">
        <v>14</v>
      </c>
      <c r="I10" s="6" t="s">
        <v>15</v>
      </c>
      <c r="J10" s="6" t="s">
        <v>56</v>
      </c>
      <c r="K10" s="21" t="s">
        <v>59</v>
      </c>
      <c r="L10" s="26" t="s">
        <v>57</v>
      </c>
      <c r="M10" s="26"/>
    </row>
    <row r="11" spans="2:14" ht="45" customHeight="1" x14ac:dyDescent="0.3">
      <c r="B11" s="8">
        <f>IF(C11="","",ROW()-10)</f>
        <v>1</v>
      </c>
      <c r="C11" s="27" t="s">
        <v>51</v>
      </c>
      <c r="D11" s="27"/>
      <c r="E11" s="27"/>
      <c r="F11" s="9" t="s">
        <v>54</v>
      </c>
      <c r="G11" s="20">
        <v>1</v>
      </c>
      <c r="H11" s="10">
        <v>180000</v>
      </c>
      <c r="I11" s="15" t="s">
        <v>36</v>
      </c>
      <c r="J11" s="15" t="s">
        <v>36</v>
      </c>
      <c r="K11" s="15"/>
      <c r="L11" s="27"/>
      <c r="M11" s="27"/>
    </row>
    <row r="12" spans="2:14" ht="45" customHeight="1" x14ac:dyDescent="0.3">
      <c r="B12" s="8">
        <f>IF(C12="","",ROW()-10)</f>
        <v>2</v>
      </c>
      <c r="C12" s="27" t="s">
        <v>52</v>
      </c>
      <c r="D12" s="27"/>
      <c r="E12" s="27"/>
      <c r="F12" s="9" t="s">
        <v>54</v>
      </c>
      <c r="G12" s="20">
        <v>1</v>
      </c>
      <c r="H12" s="10">
        <v>180000</v>
      </c>
      <c r="I12" s="15" t="s">
        <v>36</v>
      </c>
      <c r="J12" s="15" t="s">
        <v>36</v>
      </c>
      <c r="K12" s="15"/>
      <c r="L12" s="27"/>
      <c r="M12" s="27"/>
    </row>
    <row r="13" spans="2:14" ht="54" hidden="1" customHeight="1" x14ac:dyDescent="0.3">
      <c r="B13" s="8">
        <v>2</v>
      </c>
      <c r="C13" s="27" t="s">
        <v>45</v>
      </c>
      <c r="D13" s="27"/>
      <c r="E13" s="27"/>
      <c r="F13" s="9" t="s">
        <v>45</v>
      </c>
      <c r="G13" s="20" t="s">
        <v>45</v>
      </c>
      <c r="H13" s="10" t="s">
        <v>45</v>
      </c>
      <c r="I13" s="15" t="s">
        <v>36</v>
      </c>
      <c r="J13" s="15" t="s">
        <v>36</v>
      </c>
      <c r="K13" s="15"/>
      <c r="L13" s="27" t="s">
        <v>36</v>
      </c>
      <c r="M13" s="27"/>
    </row>
    <row r="14" spans="2:14" ht="49.5" hidden="1" customHeight="1" x14ac:dyDescent="0.3">
      <c r="B14" s="8">
        <v>3</v>
      </c>
      <c r="C14" s="27" t="s">
        <v>45</v>
      </c>
      <c r="D14" s="27"/>
      <c r="E14" s="27"/>
      <c r="F14" s="9" t="s">
        <v>45</v>
      </c>
      <c r="G14" s="20" t="s">
        <v>45</v>
      </c>
      <c r="H14" s="10" t="s">
        <v>45</v>
      </c>
      <c r="I14" s="15" t="s">
        <v>36</v>
      </c>
      <c r="J14" s="15" t="s">
        <v>36</v>
      </c>
      <c r="K14" s="15"/>
      <c r="L14" s="27" t="s">
        <v>36</v>
      </c>
      <c r="M14" s="27"/>
    </row>
    <row r="15" spans="2:14" ht="30" hidden="1" customHeight="1" x14ac:dyDescent="0.3">
      <c r="B15" s="8" t="str">
        <f t="shared" ref="B15:B60" si="0">IF(C15="","",ROW()-10)</f>
        <v/>
      </c>
      <c r="C15" s="27"/>
      <c r="D15" s="27"/>
      <c r="E15" s="27"/>
      <c r="F15" s="9"/>
      <c r="G15" s="10"/>
      <c r="H15" s="11"/>
      <c r="I15" s="12" t="str">
        <f t="shared" ref="I15:I60" si="1">IF(H15="","",SUM(G15*H15))</f>
        <v/>
      </c>
      <c r="J15" s="12"/>
      <c r="K15" s="12"/>
      <c r="L15" s="27"/>
      <c r="M15" s="27"/>
    </row>
    <row r="16" spans="2:14" ht="30" hidden="1" customHeight="1" x14ac:dyDescent="0.3">
      <c r="B16" s="8" t="str">
        <f t="shared" si="0"/>
        <v/>
      </c>
      <c r="C16" s="27"/>
      <c r="D16" s="27"/>
      <c r="E16" s="27"/>
      <c r="F16" s="9"/>
      <c r="G16" s="10"/>
      <c r="H16" s="11"/>
      <c r="I16" s="12" t="str">
        <f t="shared" si="1"/>
        <v/>
      </c>
      <c r="J16" s="12"/>
      <c r="K16" s="12"/>
      <c r="L16" s="27"/>
      <c r="M16" s="27"/>
    </row>
    <row r="17" spans="2:13" ht="30" hidden="1" customHeight="1" x14ac:dyDescent="0.3">
      <c r="B17" s="8" t="str">
        <f t="shared" si="0"/>
        <v/>
      </c>
      <c r="C17" s="27"/>
      <c r="D17" s="27"/>
      <c r="E17" s="27"/>
      <c r="F17" s="9"/>
      <c r="G17" s="10"/>
      <c r="H17" s="11"/>
      <c r="I17" s="12" t="str">
        <f t="shared" si="1"/>
        <v/>
      </c>
      <c r="J17" s="12"/>
      <c r="K17" s="12"/>
      <c r="L17" s="27"/>
      <c r="M17" s="27"/>
    </row>
    <row r="18" spans="2:13" ht="30" hidden="1" customHeight="1" x14ac:dyDescent="0.3">
      <c r="B18" s="8" t="str">
        <f t="shared" si="0"/>
        <v/>
      </c>
      <c r="C18" s="34"/>
      <c r="D18" s="27"/>
      <c r="E18" s="27"/>
      <c r="F18" s="9"/>
      <c r="G18" s="10"/>
      <c r="H18" s="11"/>
      <c r="I18" s="12" t="str">
        <f t="shared" si="1"/>
        <v/>
      </c>
      <c r="J18" s="12"/>
      <c r="K18" s="12"/>
      <c r="L18" s="27"/>
      <c r="M18" s="27"/>
    </row>
    <row r="19" spans="2:13" ht="30" hidden="1" customHeight="1" x14ac:dyDescent="0.3">
      <c r="B19" s="8" t="str">
        <f t="shared" si="0"/>
        <v/>
      </c>
      <c r="C19" s="27"/>
      <c r="D19" s="27"/>
      <c r="E19" s="27"/>
      <c r="F19" s="9"/>
      <c r="G19" s="10"/>
      <c r="H19" s="11"/>
      <c r="I19" s="12" t="str">
        <f t="shared" si="1"/>
        <v/>
      </c>
      <c r="J19" s="12"/>
      <c r="K19" s="12"/>
      <c r="L19" s="27"/>
      <c r="M19" s="27"/>
    </row>
    <row r="20" spans="2:13" ht="30" hidden="1" customHeight="1" x14ac:dyDescent="0.3">
      <c r="B20" s="8" t="str">
        <f t="shared" si="0"/>
        <v/>
      </c>
      <c r="C20" s="27"/>
      <c r="D20" s="27"/>
      <c r="E20" s="27"/>
      <c r="F20" s="9"/>
      <c r="G20" s="10"/>
      <c r="H20" s="11"/>
      <c r="I20" s="12" t="str">
        <f t="shared" si="1"/>
        <v/>
      </c>
      <c r="J20" s="12"/>
      <c r="K20" s="12"/>
      <c r="L20" s="27"/>
      <c r="M20" s="27"/>
    </row>
    <row r="21" spans="2:13" ht="30" hidden="1" customHeight="1" x14ac:dyDescent="0.3">
      <c r="B21" s="8" t="str">
        <f t="shared" si="0"/>
        <v/>
      </c>
      <c r="C21" s="27"/>
      <c r="D21" s="27"/>
      <c r="E21" s="27"/>
      <c r="F21" s="9"/>
      <c r="G21" s="10"/>
      <c r="H21" s="11"/>
      <c r="I21" s="12" t="str">
        <f t="shared" si="1"/>
        <v/>
      </c>
      <c r="J21" s="12"/>
      <c r="K21" s="12"/>
      <c r="L21" s="27"/>
      <c r="M21" s="27"/>
    </row>
    <row r="22" spans="2:13" ht="30" hidden="1" customHeight="1" x14ac:dyDescent="0.3">
      <c r="B22" s="8" t="str">
        <f t="shared" si="0"/>
        <v/>
      </c>
      <c r="C22" s="27"/>
      <c r="D22" s="27"/>
      <c r="E22" s="27"/>
      <c r="F22" s="9"/>
      <c r="G22" s="10"/>
      <c r="H22" s="11"/>
      <c r="I22" s="12" t="str">
        <f t="shared" si="1"/>
        <v/>
      </c>
      <c r="J22" s="12"/>
      <c r="K22" s="12"/>
      <c r="L22" s="27"/>
      <c r="M22" s="27"/>
    </row>
    <row r="23" spans="2:13" ht="30" hidden="1" customHeight="1" x14ac:dyDescent="0.3">
      <c r="B23" s="8" t="str">
        <f t="shared" si="0"/>
        <v/>
      </c>
      <c r="C23" s="27"/>
      <c r="D23" s="27"/>
      <c r="E23" s="27"/>
      <c r="F23" s="9"/>
      <c r="G23" s="10"/>
      <c r="H23" s="11"/>
      <c r="I23" s="12" t="str">
        <f t="shared" si="1"/>
        <v/>
      </c>
      <c r="J23" s="12"/>
      <c r="K23" s="12"/>
      <c r="L23" s="27"/>
      <c r="M23" s="27"/>
    </row>
    <row r="24" spans="2:13" ht="30" hidden="1" customHeight="1" x14ac:dyDescent="0.3">
      <c r="B24" s="8" t="str">
        <f t="shared" si="0"/>
        <v/>
      </c>
      <c r="C24" s="27"/>
      <c r="D24" s="27"/>
      <c r="E24" s="27"/>
      <c r="F24" s="9"/>
      <c r="G24" s="13"/>
      <c r="H24" s="11"/>
      <c r="I24" s="12" t="str">
        <f t="shared" si="1"/>
        <v/>
      </c>
      <c r="J24" s="12"/>
      <c r="K24" s="12"/>
      <c r="L24" s="27"/>
      <c r="M24" s="27"/>
    </row>
    <row r="25" spans="2:13" ht="30" hidden="1" customHeight="1" x14ac:dyDescent="0.3">
      <c r="B25" s="8" t="str">
        <f t="shared" si="0"/>
        <v/>
      </c>
      <c r="C25" s="27"/>
      <c r="D25" s="27"/>
      <c r="E25" s="27"/>
      <c r="F25" s="9"/>
      <c r="G25" s="13"/>
      <c r="H25" s="11"/>
      <c r="I25" s="12" t="str">
        <f t="shared" si="1"/>
        <v/>
      </c>
      <c r="J25" s="12"/>
      <c r="K25" s="12"/>
      <c r="L25" s="27"/>
      <c r="M25" s="27"/>
    </row>
    <row r="26" spans="2:13" ht="30" hidden="1" customHeight="1" x14ac:dyDescent="0.25">
      <c r="B26" s="8" t="str">
        <f t="shared" si="0"/>
        <v/>
      </c>
      <c r="C26" s="27"/>
      <c r="D26" s="27"/>
      <c r="E26" s="27"/>
      <c r="F26" s="9"/>
      <c r="G26" s="14"/>
      <c r="H26" s="11"/>
      <c r="I26" s="12" t="str">
        <f t="shared" si="1"/>
        <v/>
      </c>
      <c r="J26" s="12"/>
      <c r="K26" s="12"/>
      <c r="L26" s="33"/>
      <c r="M26" s="33"/>
    </row>
    <row r="27" spans="2:13" ht="30" hidden="1" customHeight="1" x14ac:dyDescent="0.3">
      <c r="B27" s="8" t="str">
        <f t="shared" si="0"/>
        <v/>
      </c>
      <c r="C27" s="27"/>
      <c r="D27" s="27"/>
      <c r="E27" s="27"/>
      <c r="F27" s="9"/>
      <c r="G27" s="14"/>
      <c r="H27" s="11"/>
      <c r="I27" s="12" t="str">
        <f t="shared" si="1"/>
        <v/>
      </c>
      <c r="J27" s="12"/>
      <c r="K27" s="12"/>
      <c r="L27" s="24"/>
      <c r="M27" s="24"/>
    </row>
    <row r="28" spans="2:13" ht="30" hidden="1" customHeight="1" x14ac:dyDescent="0.3">
      <c r="B28" s="8" t="str">
        <f t="shared" si="0"/>
        <v/>
      </c>
      <c r="C28" s="24"/>
      <c r="D28" s="24"/>
      <c r="E28" s="24"/>
      <c r="F28" s="9"/>
      <c r="G28" s="14"/>
      <c r="H28" s="11"/>
      <c r="I28" s="15" t="str">
        <f t="shared" si="1"/>
        <v/>
      </c>
      <c r="J28" s="12"/>
      <c r="K28" s="12"/>
      <c r="L28" s="24"/>
      <c r="M28" s="24"/>
    </row>
    <row r="29" spans="2:13" ht="30" hidden="1" customHeight="1" x14ac:dyDescent="0.3">
      <c r="B29" s="8" t="str">
        <f t="shared" si="0"/>
        <v/>
      </c>
      <c r="C29" s="24"/>
      <c r="D29" s="24"/>
      <c r="E29" s="24"/>
      <c r="F29" s="9"/>
      <c r="G29" s="14"/>
      <c r="H29" s="11"/>
      <c r="I29" s="15" t="str">
        <f t="shared" si="1"/>
        <v/>
      </c>
      <c r="J29" s="12"/>
      <c r="K29" s="12"/>
      <c r="L29" s="24"/>
      <c r="M29" s="24"/>
    </row>
    <row r="30" spans="2:13" ht="30" hidden="1" customHeight="1" x14ac:dyDescent="0.3">
      <c r="B30" s="8" t="str">
        <f t="shared" si="0"/>
        <v/>
      </c>
      <c r="C30" s="24"/>
      <c r="D30" s="24"/>
      <c r="E30" s="24"/>
      <c r="F30" s="9"/>
      <c r="G30" s="14"/>
      <c r="H30" s="11"/>
      <c r="I30" s="15" t="str">
        <f t="shared" si="1"/>
        <v/>
      </c>
      <c r="J30" s="12"/>
      <c r="K30" s="12"/>
      <c r="L30" s="24"/>
      <c r="M30" s="24"/>
    </row>
    <row r="31" spans="2:13" ht="30" hidden="1" customHeight="1" x14ac:dyDescent="0.3">
      <c r="B31" s="8" t="str">
        <f t="shared" si="0"/>
        <v/>
      </c>
      <c r="C31" s="24"/>
      <c r="D31" s="24"/>
      <c r="E31" s="24"/>
      <c r="F31" s="9"/>
      <c r="G31" s="14"/>
      <c r="H31" s="11"/>
      <c r="I31" s="15" t="str">
        <f t="shared" si="1"/>
        <v/>
      </c>
      <c r="J31" s="12"/>
      <c r="K31" s="12"/>
      <c r="L31" s="24"/>
      <c r="M31" s="24"/>
    </row>
    <row r="32" spans="2:13" ht="30" hidden="1" customHeight="1" x14ac:dyDescent="0.3">
      <c r="B32" s="8" t="str">
        <f t="shared" si="0"/>
        <v/>
      </c>
      <c r="C32" s="24"/>
      <c r="D32" s="24"/>
      <c r="E32" s="24"/>
      <c r="F32" s="9"/>
      <c r="G32" s="14"/>
      <c r="H32" s="11"/>
      <c r="I32" s="15" t="str">
        <f t="shared" si="1"/>
        <v/>
      </c>
      <c r="J32" s="12"/>
      <c r="K32" s="12"/>
      <c r="L32" s="24"/>
      <c r="M32" s="24"/>
    </row>
    <row r="33" spans="2:13" ht="30" hidden="1" customHeight="1" x14ac:dyDescent="0.3">
      <c r="B33" s="8" t="str">
        <f t="shared" si="0"/>
        <v/>
      </c>
      <c r="C33" s="24"/>
      <c r="D33" s="24"/>
      <c r="E33" s="24"/>
      <c r="F33" s="9"/>
      <c r="G33" s="14"/>
      <c r="H33" s="11"/>
      <c r="I33" s="15" t="str">
        <f t="shared" si="1"/>
        <v/>
      </c>
      <c r="J33" s="12"/>
      <c r="K33" s="12"/>
      <c r="L33" s="24"/>
      <c r="M33" s="24"/>
    </row>
    <row r="34" spans="2:13" ht="30" hidden="1" customHeight="1" x14ac:dyDescent="0.3">
      <c r="B34" s="8" t="str">
        <f t="shared" si="0"/>
        <v/>
      </c>
      <c r="C34" s="24"/>
      <c r="D34" s="24"/>
      <c r="E34" s="24"/>
      <c r="F34" s="9"/>
      <c r="G34" s="14"/>
      <c r="H34" s="11"/>
      <c r="I34" s="15" t="str">
        <f t="shared" si="1"/>
        <v/>
      </c>
      <c r="J34" s="12"/>
      <c r="K34" s="12"/>
      <c r="L34" s="24"/>
      <c r="M34" s="24"/>
    </row>
    <row r="35" spans="2:13" ht="30" hidden="1" customHeight="1" x14ac:dyDescent="0.3">
      <c r="B35" s="8" t="str">
        <f t="shared" si="0"/>
        <v/>
      </c>
      <c r="C35" s="24"/>
      <c r="D35" s="24"/>
      <c r="E35" s="24"/>
      <c r="F35" s="9"/>
      <c r="G35" s="14"/>
      <c r="H35" s="11"/>
      <c r="I35" s="15" t="str">
        <f t="shared" si="1"/>
        <v/>
      </c>
      <c r="J35" s="12"/>
      <c r="K35" s="12"/>
      <c r="L35" s="24"/>
      <c r="M35" s="24"/>
    </row>
    <row r="36" spans="2:13" ht="30" hidden="1" customHeight="1" x14ac:dyDescent="0.3">
      <c r="B36" s="8" t="str">
        <f t="shared" si="0"/>
        <v/>
      </c>
      <c r="C36" s="24"/>
      <c r="D36" s="24"/>
      <c r="E36" s="24"/>
      <c r="F36" s="9"/>
      <c r="G36" s="14"/>
      <c r="H36" s="11"/>
      <c r="I36" s="15" t="str">
        <f t="shared" si="1"/>
        <v/>
      </c>
      <c r="J36" s="12"/>
      <c r="K36" s="12"/>
      <c r="L36" s="24"/>
      <c r="M36" s="24"/>
    </row>
    <row r="37" spans="2:13" ht="30" hidden="1" customHeight="1" x14ac:dyDescent="0.3">
      <c r="B37" s="8" t="str">
        <f t="shared" si="0"/>
        <v/>
      </c>
      <c r="C37" s="24"/>
      <c r="D37" s="24"/>
      <c r="E37" s="24"/>
      <c r="F37" s="9"/>
      <c r="G37" s="14"/>
      <c r="H37" s="11"/>
      <c r="I37" s="15" t="str">
        <f t="shared" si="1"/>
        <v/>
      </c>
      <c r="J37" s="12"/>
      <c r="K37" s="12"/>
      <c r="L37" s="24"/>
      <c r="M37" s="24"/>
    </row>
    <row r="38" spans="2:13" ht="30" hidden="1" customHeight="1" x14ac:dyDescent="0.3">
      <c r="B38" s="8" t="str">
        <f t="shared" si="0"/>
        <v/>
      </c>
      <c r="C38" s="24"/>
      <c r="D38" s="24"/>
      <c r="E38" s="24"/>
      <c r="F38" s="9"/>
      <c r="G38" s="14"/>
      <c r="H38" s="11"/>
      <c r="I38" s="15" t="str">
        <f t="shared" si="1"/>
        <v/>
      </c>
      <c r="J38" s="12"/>
      <c r="K38" s="12"/>
      <c r="L38" s="24"/>
      <c r="M38" s="24"/>
    </row>
    <row r="39" spans="2:13" ht="30" hidden="1" customHeight="1" x14ac:dyDescent="0.3">
      <c r="B39" s="8" t="str">
        <f t="shared" si="0"/>
        <v/>
      </c>
      <c r="C39" s="24"/>
      <c r="D39" s="24"/>
      <c r="E39" s="24"/>
      <c r="F39" s="9"/>
      <c r="G39" s="14"/>
      <c r="H39" s="11"/>
      <c r="I39" s="15" t="str">
        <f t="shared" si="1"/>
        <v/>
      </c>
      <c r="J39" s="12"/>
      <c r="K39" s="12"/>
      <c r="L39" s="24"/>
      <c r="M39" s="24"/>
    </row>
    <row r="40" spans="2:13" ht="30" hidden="1" customHeight="1" x14ac:dyDescent="0.3">
      <c r="B40" s="8" t="str">
        <f t="shared" si="0"/>
        <v/>
      </c>
      <c r="C40" s="24"/>
      <c r="D40" s="24"/>
      <c r="E40" s="24"/>
      <c r="F40" s="9"/>
      <c r="G40" s="14"/>
      <c r="H40" s="11"/>
      <c r="I40" s="15" t="str">
        <f t="shared" si="1"/>
        <v/>
      </c>
      <c r="J40" s="12"/>
      <c r="K40" s="12"/>
      <c r="L40" s="24"/>
      <c r="M40" s="24"/>
    </row>
    <row r="41" spans="2:13" ht="30" hidden="1" customHeight="1" x14ac:dyDescent="0.3">
      <c r="B41" s="8" t="str">
        <f t="shared" si="0"/>
        <v/>
      </c>
      <c r="C41" s="24"/>
      <c r="D41" s="24"/>
      <c r="E41" s="24"/>
      <c r="F41" s="9"/>
      <c r="G41" s="14"/>
      <c r="H41" s="11"/>
      <c r="I41" s="15" t="str">
        <f t="shared" si="1"/>
        <v/>
      </c>
      <c r="J41" s="12"/>
      <c r="K41" s="12"/>
      <c r="L41" s="24"/>
      <c r="M41" s="24"/>
    </row>
    <row r="42" spans="2:13" ht="30" hidden="1" customHeight="1" x14ac:dyDescent="0.3">
      <c r="B42" s="8" t="str">
        <f t="shared" si="0"/>
        <v/>
      </c>
      <c r="C42" s="24"/>
      <c r="D42" s="24"/>
      <c r="E42" s="24"/>
      <c r="F42" s="9"/>
      <c r="G42" s="14"/>
      <c r="H42" s="11"/>
      <c r="I42" s="15" t="str">
        <f t="shared" si="1"/>
        <v/>
      </c>
      <c r="J42" s="12"/>
      <c r="K42" s="12"/>
      <c r="L42" s="24"/>
      <c r="M42" s="24"/>
    </row>
    <row r="43" spans="2:13" ht="30" hidden="1" customHeight="1" x14ac:dyDescent="0.3">
      <c r="B43" s="8" t="str">
        <f t="shared" si="0"/>
        <v/>
      </c>
      <c r="C43" s="24"/>
      <c r="D43" s="24"/>
      <c r="E43" s="24"/>
      <c r="F43" s="9"/>
      <c r="G43" s="14"/>
      <c r="H43" s="11"/>
      <c r="I43" s="15" t="str">
        <f t="shared" si="1"/>
        <v/>
      </c>
      <c r="J43" s="12"/>
      <c r="K43" s="12"/>
      <c r="L43" s="24"/>
      <c r="M43" s="24"/>
    </row>
    <row r="44" spans="2:13" ht="30" hidden="1" customHeight="1" x14ac:dyDescent="0.3">
      <c r="B44" s="8" t="str">
        <f t="shared" si="0"/>
        <v/>
      </c>
      <c r="C44" s="24"/>
      <c r="D44" s="24"/>
      <c r="E44" s="24"/>
      <c r="F44" s="9"/>
      <c r="G44" s="14"/>
      <c r="H44" s="16"/>
      <c r="I44" s="15" t="str">
        <f t="shared" si="1"/>
        <v/>
      </c>
      <c r="J44" s="12"/>
      <c r="K44" s="12"/>
      <c r="L44" s="24"/>
      <c r="M44" s="24"/>
    </row>
    <row r="45" spans="2:13" ht="30" hidden="1" customHeight="1" x14ac:dyDescent="0.3">
      <c r="B45" s="8" t="str">
        <f t="shared" si="0"/>
        <v/>
      </c>
      <c r="C45" s="24"/>
      <c r="D45" s="24"/>
      <c r="E45" s="24"/>
      <c r="F45" s="9"/>
      <c r="G45" s="14"/>
      <c r="H45" s="16"/>
      <c r="I45" s="15" t="str">
        <f t="shared" si="1"/>
        <v/>
      </c>
      <c r="J45" s="12"/>
      <c r="K45" s="12"/>
      <c r="L45" s="24"/>
      <c r="M45" s="24"/>
    </row>
    <row r="46" spans="2:13" ht="30" hidden="1" customHeight="1" x14ac:dyDescent="0.3">
      <c r="B46" s="8" t="str">
        <f t="shared" si="0"/>
        <v/>
      </c>
      <c r="C46" s="24"/>
      <c r="D46" s="24"/>
      <c r="E46" s="24"/>
      <c r="F46" s="9"/>
      <c r="G46" s="14"/>
      <c r="H46" s="16"/>
      <c r="I46" s="15" t="str">
        <f t="shared" si="1"/>
        <v/>
      </c>
      <c r="J46" s="12"/>
      <c r="K46" s="12"/>
      <c r="L46" s="24"/>
      <c r="M46" s="24"/>
    </row>
    <row r="47" spans="2:13" ht="30" hidden="1" customHeight="1" x14ac:dyDescent="0.3">
      <c r="B47" s="8" t="str">
        <f t="shared" si="0"/>
        <v/>
      </c>
      <c r="C47" s="24"/>
      <c r="D47" s="24"/>
      <c r="E47" s="24"/>
      <c r="F47" s="9"/>
      <c r="G47" s="14"/>
      <c r="H47" s="16"/>
      <c r="I47" s="15" t="str">
        <f t="shared" si="1"/>
        <v/>
      </c>
      <c r="J47" s="12"/>
      <c r="K47" s="12"/>
      <c r="L47" s="24"/>
      <c r="M47" s="24"/>
    </row>
    <row r="48" spans="2:13" ht="30" hidden="1" customHeight="1" x14ac:dyDescent="0.3">
      <c r="B48" s="8" t="str">
        <f t="shared" si="0"/>
        <v/>
      </c>
      <c r="C48" s="24"/>
      <c r="D48" s="24"/>
      <c r="E48" s="24"/>
      <c r="F48" s="9"/>
      <c r="G48" s="14"/>
      <c r="H48" s="16"/>
      <c r="I48" s="15" t="str">
        <f t="shared" si="1"/>
        <v/>
      </c>
      <c r="J48" s="12"/>
      <c r="K48" s="12"/>
      <c r="L48" s="24"/>
      <c r="M48" s="24"/>
    </row>
    <row r="49" spans="2:13" ht="30" hidden="1" customHeight="1" x14ac:dyDescent="0.3">
      <c r="B49" s="8" t="str">
        <f t="shared" si="0"/>
        <v/>
      </c>
      <c r="C49" s="24"/>
      <c r="D49" s="24"/>
      <c r="E49" s="24"/>
      <c r="F49" s="9"/>
      <c r="G49" s="14"/>
      <c r="H49" s="16"/>
      <c r="I49" s="15" t="str">
        <f t="shared" si="1"/>
        <v/>
      </c>
      <c r="J49" s="12"/>
      <c r="K49" s="12"/>
      <c r="L49" s="24"/>
      <c r="M49" s="24"/>
    </row>
    <row r="50" spans="2:13" ht="30" hidden="1" customHeight="1" x14ac:dyDescent="0.3">
      <c r="B50" s="8" t="str">
        <f t="shared" si="0"/>
        <v/>
      </c>
      <c r="C50" s="24"/>
      <c r="D50" s="24"/>
      <c r="E50" s="24"/>
      <c r="F50" s="9"/>
      <c r="G50" s="14"/>
      <c r="H50" s="16"/>
      <c r="I50" s="15" t="str">
        <f t="shared" si="1"/>
        <v/>
      </c>
      <c r="J50" s="12"/>
      <c r="K50" s="12"/>
      <c r="L50" s="24"/>
      <c r="M50" s="24"/>
    </row>
    <row r="51" spans="2:13" ht="30" hidden="1" customHeight="1" x14ac:dyDescent="0.3">
      <c r="B51" s="8" t="str">
        <f t="shared" si="0"/>
        <v/>
      </c>
      <c r="C51" s="24"/>
      <c r="D51" s="24"/>
      <c r="E51" s="24"/>
      <c r="F51" s="9"/>
      <c r="G51" s="14"/>
      <c r="H51" s="16"/>
      <c r="I51" s="15" t="str">
        <f t="shared" si="1"/>
        <v/>
      </c>
      <c r="J51" s="12"/>
      <c r="K51" s="12"/>
      <c r="L51" s="24"/>
      <c r="M51" s="24"/>
    </row>
    <row r="52" spans="2:13" ht="30" hidden="1" customHeight="1" x14ac:dyDescent="0.3">
      <c r="B52" s="8" t="str">
        <f t="shared" si="0"/>
        <v/>
      </c>
      <c r="C52" s="24"/>
      <c r="D52" s="24"/>
      <c r="E52" s="24"/>
      <c r="F52" s="9"/>
      <c r="G52" s="14"/>
      <c r="H52" s="16"/>
      <c r="I52" s="15" t="str">
        <f t="shared" si="1"/>
        <v/>
      </c>
      <c r="J52" s="12"/>
      <c r="K52" s="12"/>
      <c r="L52" s="24"/>
      <c r="M52" s="24"/>
    </row>
    <row r="53" spans="2:13" ht="30" hidden="1" customHeight="1" x14ac:dyDescent="0.3">
      <c r="B53" s="8" t="str">
        <f t="shared" si="0"/>
        <v/>
      </c>
      <c r="C53" s="24"/>
      <c r="D53" s="24"/>
      <c r="E53" s="24"/>
      <c r="F53" s="9"/>
      <c r="G53" s="14"/>
      <c r="H53" s="16"/>
      <c r="I53" s="15" t="str">
        <f t="shared" si="1"/>
        <v/>
      </c>
      <c r="J53" s="12"/>
      <c r="K53" s="12"/>
      <c r="L53" s="24"/>
      <c r="M53" s="24"/>
    </row>
    <row r="54" spans="2:13" ht="30" hidden="1" customHeight="1" x14ac:dyDescent="0.3">
      <c r="B54" s="8" t="str">
        <f t="shared" si="0"/>
        <v/>
      </c>
      <c r="C54" s="24"/>
      <c r="D54" s="24"/>
      <c r="E54" s="24"/>
      <c r="F54" s="9"/>
      <c r="G54" s="14"/>
      <c r="H54" s="16"/>
      <c r="I54" s="15" t="str">
        <f t="shared" si="1"/>
        <v/>
      </c>
      <c r="J54" s="12"/>
      <c r="K54" s="12"/>
      <c r="L54" s="24"/>
      <c r="M54" s="24"/>
    </row>
    <row r="55" spans="2:13" ht="30" hidden="1" customHeight="1" x14ac:dyDescent="0.3">
      <c r="B55" s="8" t="str">
        <f t="shared" si="0"/>
        <v/>
      </c>
      <c r="C55" s="24"/>
      <c r="D55" s="24"/>
      <c r="E55" s="24"/>
      <c r="F55" s="9"/>
      <c r="G55" s="14"/>
      <c r="H55" s="16"/>
      <c r="I55" s="15" t="str">
        <f t="shared" si="1"/>
        <v/>
      </c>
      <c r="J55" s="12"/>
      <c r="K55" s="12"/>
      <c r="L55" s="24"/>
      <c r="M55" s="24"/>
    </row>
    <row r="56" spans="2:13" ht="30" hidden="1" customHeight="1" x14ac:dyDescent="0.3">
      <c r="B56" s="8" t="str">
        <f t="shared" si="0"/>
        <v/>
      </c>
      <c r="C56" s="24"/>
      <c r="D56" s="24"/>
      <c r="E56" s="24"/>
      <c r="F56" s="9"/>
      <c r="G56" s="14"/>
      <c r="H56" s="16"/>
      <c r="I56" s="17" t="str">
        <f t="shared" si="1"/>
        <v/>
      </c>
      <c r="J56" s="12"/>
      <c r="K56" s="12"/>
      <c r="L56" s="24"/>
      <c r="M56" s="24"/>
    </row>
    <row r="57" spans="2:13" ht="30" hidden="1" customHeight="1" x14ac:dyDescent="0.3">
      <c r="B57" s="8" t="str">
        <f t="shared" si="0"/>
        <v/>
      </c>
      <c r="C57" s="24"/>
      <c r="D57" s="24"/>
      <c r="E57" s="24"/>
      <c r="F57" s="9"/>
      <c r="G57" s="14"/>
      <c r="H57" s="16"/>
      <c r="I57" s="17" t="str">
        <f t="shared" si="1"/>
        <v/>
      </c>
      <c r="J57" s="12"/>
      <c r="K57" s="12"/>
      <c r="L57" s="24"/>
      <c r="M57" s="24"/>
    </row>
    <row r="58" spans="2:13" ht="30" hidden="1" customHeight="1" x14ac:dyDescent="0.3">
      <c r="B58" s="8" t="str">
        <f t="shared" si="0"/>
        <v/>
      </c>
      <c r="C58" s="24"/>
      <c r="D58" s="24"/>
      <c r="E58" s="24"/>
      <c r="F58" s="9"/>
      <c r="G58" s="14"/>
      <c r="H58" s="16"/>
      <c r="I58" s="17" t="str">
        <f t="shared" si="1"/>
        <v/>
      </c>
      <c r="J58" s="12"/>
      <c r="K58" s="12"/>
      <c r="L58" s="24"/>
      <c r="M58" s="24"/>
    </row>
    <row r="59" spans="2:13" ht="30" hidden="1" customHeight="1" x14ac:dyDescent="0.3">
      <c r="B59" s="8" t="str">
        <f t="shared" si="0"/>
        <v/>
      </c>
      <c r="C59" s="24"/>
      <c r="D59" s="24"/>
      <c r="E59" s="24"/>
      <c r="F59" s="9"/>
      <c r="G59" s="14"/>
      <c r="H59" s="16"/>
      <c r="I59" s="17" t="str">
        <f t="shared" si="1"/>
        <v/>
      </c>
      <c r="J59" s="12"/>
      <c r="K59" s="12"/>
      <c r="L59" s="24"/>
      <c r="M59" s="24"/>
    </row>
    <row r="60" spans="2:13" ht="30" hidden="1" customHeight="1" x14ac:dyDescent="0.3">
      <c r="B60" s="8" t="str">
        <f t="shared" si="0"/>
        <v/>
      </c>
      <c r="C60" s="24"/>
      <c r="D60" s="24"/>
      <c r="E60" s="24"/>
      <c r="F60" s="9"/>
      <c r="G60" s="14"/>
      <c r="H60" s="16"/>
      <c r="I60" s="17" t="str">
        <f t="shared" si="1"/>
        <v/>
      </c>
      <c r="J60" s="12"/>
      <c r="K60" s="12"/>
      <c r="L60" s="24"/>
      <c r="M60" s="24"/>
    </row>
    <row r="61" spans="2:13" ht="25.15" customHeight="1" x14ac:dyDescent="0.3">
      <c r="B61" s="26" t="s">
        <v>58</v>
      </c>
      <c r="C61" s="26"/>
      <c r="D61" s="26"/>
      <c r="E61" s="26"/>
      <c r="F61" s="26"/>
      <c r="G61" s="26"/>
      <c r="H61" s="26"/>
      <c r="I61" s="48" t="s">
        <v>36</v>
      </c>
      <c r="J61" s="48"/>
      <c r="K61" s="48"/>
      <c r="L61" s="27" t="s">
        <v>36</v>
      </c>
      <c r="M61" s="27"/>
    </row>
    <row r="62" spans="2:13" ht="25.15" customHeight="1" x14ac:dyDescent="0.3">
      <c r="B62" s="26" t="s">
        <v>43</v>
      </c>
      <c r="C62" s="26"/>
      <c r="D62" s="26"/>
      <c r="E62" s="26"/>
      <c r="F62" s="26"/>
      <c r="G62" s="26"/>
      <c r="H62" s="26"/>
      <c r="I62" s="49">
        <f>SUM(H11:H14)</f>
        <v>360000</v>
      </c>
      <c r="J62" s="50"/>
      <c r="K62" s="51"/>
      <c r="L62" s="27" t="s">
        <v>36</v>
      </c>
      <c r="M62" s="27"/>
    </row>
    <row r="63" spans="2:13" ht="25.15" customHeight="1" x14ac:dyDescent="0.3">
      <c r="B63" s="26" t="s">
        <v>16</v>
      </c>
      <c r="C63" s="26"/>
      <c r="D63" s="24" t="s">
        <v>47</v>
      </c>
      <c r="E63" s="24"/>
      <c r="F63" s="6" t="s">
        <v>17</v>
      </c>
      <c r="G63" s="24" t="s">
        <v>48</v>
      </c>
      <c r="H63" s="24"/>
      <c r="I63" s="24"/>
      <c r="J63" s="24"/>
      <c r="K63" s="24"/>
      <c r="L63" s="24"/>
      <c r="M63" s="24"/>
    </row>
    <row r="64" spans="2:13" ht="25.15" customHeight="1" x14ac:dyDescent="0.3">
      <c r="B64" s="26" t="s">
        <v>18</v>
      </c>
      <c r="C64" s="26"/>
      <c r="D64" s="6" t="s">
        <v>19</v>
      </c>
      <c r="E64" s="18"/>
      <c r="F64" s="6" t="s">
        <v>20</v>
      </c>
      <c r="G64" s="28"/>
      <c r="H64" s="28"/>
      <c r="I64" s="28"/>
      <c r="J64" s="6" t="s">
        <v>21</v>
      </c>
      <c r="K64" s="21"/>
      <c r="L64" s="24"/>
      <c r="M64" s="24"/>
    </row>
    <row r="65" spans="2:13" ht="25.15" customHeight="1" x14ac:dyDescent="0.3">
      <c r="B65" s="26" t="s">
        <v>22</v>
      </c>
      <c r="C65" s="26"/>
      <c r="D65" s="29"/>
      <c r="E65" s="30"/>
      <c r="F65" s="30"/>
      <c r="G65" s="30"/>
      <c r="H65" s="30"/>
      <c r="I65" s="30"/>
      <c r="J65" s="30"/>
      <c r="K65" s="30"/>
      <c r="L65" s="30"/>
      <c r="M65" s="31"/>
    </row>
    <row r="66" spans="2:13" x14ac:dyDescent="0.3">
      <c r="B66" s="3"/>
      <c r="C66" s="3"/>
      <c r="D66" s="3"/>
      <c r="E66" s="3"/>
      <c r="F66" s="3"/>
      <c r="G66" s="3"/>
      <c r="H66" s="5"/>
      <c r="I66" s="3"/>
      <c r="J66" s="3"/>
      <c r="K66" s="3"/>
      <c r="L66" s="3"/>
      <c r="M66" s="3"/>
    </row>
    <row r="67" spans="2:13" ht="17.25" customHeight="1" x14ac:dyDescent="0.3">
      <c r="B67" s="32" t="s">
        <v>37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</row>
    <row r="68" spans="2:13" x14ac:dyDescent="0.3">
      <c r="B68" s="3"/>
      <c r="C68" s="3"/>
      <c r="D68" s="3"/>
      <c r="E68" s="3"/>
      <c r="F68" s="3"/>
      <c r="G68" s="3"/>
      <c r="H68" s="5"/>
      <c r="I68" s="3"/>
      <c r="J68" s="3"/>
      <c r="K68" s="3"/>
      <c r="L68" s="3"/>
      <c r="M68" s="3"/>
    </row>
    <row r="69" spans="2:13" ht="17.25" customHeight="1" x14ac:dyDescent="0.3">
      <c r="B69" s="32" t="s">
        <v>39</v>
      </c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</row>
    <row r="70" spans="2:13" ht="303.75" customHeight="1" x14ac:dyDescent="0.3">
      <c r="B70" s="25" t="s">
        <v>55</v>
      </c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</row>
    <row r="71" spans="2:13" x14ac:dyDescent="0.3"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</row>
    <row r="72" spans="2:13" ht="19.149999999999999" customHeight="1" x14ac:dyDescent="0.3">
      <c r="B72" s="32" t="s">
        <v>38</v>
      </c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</row>
    <row r="73" spans="2:13" ht="36" customHeight="1" x14ac:dyDescent="0.3">
      <c r="B73" s="25" t="s">
        <v>53</v>
      </c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2:13" x14ac:dyDescent="0.3"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2:13" x14ac:dyDescent="0.3">
      <c r="B75" s="25" t="s">
        <v>40</v>
      </c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</row>
    <row r="76" spans="2:13" x14ac:dyDescent="0.3"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</row>
  </sheetData>
  <protectedRanges>
    <protectedRange algorithmName="SHA-512" hashValue="qAAaSxdcCzritEHx0hkNzh7ZaZyVQqWmLOZaL5KHN1tPPyKYC4GBNwuEL6WsbdcGxo4oCjOfoWY6dgIuDdT6kA==" saltValue="uGmcMPPduR93sptcPrrfaA==" spinCount="100000" sqref="J2:K2 M2" name="범위1"/>
  </protectedRanges>
  <mergeCells count="141">
    <mergeCell ref="I62:K62"/>
    <mergeCell ref="B71:M71"/>
    <mergeCell ref="B74:M74"/>
    <mergeCell ref="B1:M1"/>
    <mergeCell ref="B76:M76"/>
    <mergeCell ref="L3:L5"/>
    <mergeCell ref="M4:M5"/>
    <mergeCell ref="B6:C6"/>
    <mergeCell ref="D6:E6"/>
    <mergeCell ref="J6:M6"/>
    <mergeCell ref="J7:M7"/>
    <mergeCell ref="C10:E10"/>
    <mergeCell ref="L10:M10"/>
    <mergeCell ref="C12:E12"/>
    <mergeCell ref="L12:M12"/>
    <mergeCell ref="B3:J4"/>
    <mergeCell ref="B5:J5"/>
    <mergeCell ref="G6:H6"/>
    <mergeCell ref="C13:E13"/>
    <mergeCell ref="L13:M13"/>
    <mergeCell ref="B7:C7"/>
    <mergeCell ref="D7:E7"/>
    <mergeCell ref="B8:C8"/>
    <mergeCell ref="E8:H8"/>
    <mergeCell ref="C17:E17"/>
    <mergeCell ref="L17:M17"/>
    <mergeCell ref="C18:E18"/>
    <mergeCell ref="L18:M18"/>
    <mergeCell ref="G7:H7"/>
    <mergeCell ref="I8:M8"/>
    <mergeCell ref="B9:M9"/>
    <mergeCell ref="C14:E14"/>
    <mergeCell ref="L14:M14"/>
    <mergeCell ref="C15:E15"/>
    <mergeCell ref="L15:M15"/>
    <mergeCell ref="C16:E16"/>
    <mergeCell ref="L16:M16"/>
    <mergeCell ref="C11:E11"/>
    <mergeCell ref="L11:M11"/>
    <mergeCell ref="C19:E19"/>
    <mergeCell ref="L19:M19"/>
    <mergeCell ref="C28:E28"/>
    <mergeCell ref="L28:M28"/>
    <mergeCell ref="C24:E24"/>
    <mergeCell ref="L24:M24"/>
    <mergeCell ref="C25:E25"/>
    <mergeCell ref="L25:M25"/>
    <mergeCell ref="C32:E32"/>
    <mergeCell ref="L32:M32"/>
    <mergeCell ref="C26:E26"/>
    <mergeCell ref="L26:M26"/>
    <mergeCell ref="C27:E27"/>
    <mergeCell ref="L27:M27"/>
    <mergeCell ref="C23:E23"/>
    <mergeCell ref="L23:M23"/>
    <mergeCell ref="C20:E20"/>
    <mergeCell ref="L20:M20"/>
    <mergeCell ref="C21:E21"/>
    <mergeCell ref="L21:M21"/>
    <mergeCell ref="C22:E22"/>
    <mergeCell ref="L22:M22"/>
    <mergeCell ref="C33:E33"/>
    <mergeCell ref="L33:M33"/>
    <mergeCell ref="C34:E34"/>
    <mergeCell ref="L34:M34"/>
    <mergeCell ref="C29:E29"/>
    <mergeCell ref="L29:M29"/>
    <mergeCell ref="C30:E30"/>
    <mergeCell ref="L30:M30"/>
    <mergeCell ref="C31:E31"/>
    <mergeCell ref="L31:M31"/>
    <mergeCell ref="C38:E38"/>
    <mergeCell ref="L38:M38"/>
    <mergeCell ref="C39:E39"/>
    <mergeCell ref="L39:M39"/>
    <mergeCell ref="C40:E40"/>
    <mergeCell ref="L40:M40"/>
    <mergeCell ref="C35:E35"/>
    <mergeCell ref="L35:M35"/>
    <mergeCell ref="C36:E36"/>
    <mergeCell ref="L36:M36"/>
    <mergeCell ref="C37:E37"/>
    <mergeCell ref="L37:M37"/>
    <mergeCell ref="C44:E44"/>
    <mergeCell ref="L44:M44"/>
    <mergeCell ref="C45:E45"/>
    <mergeCell ref="L45:M45"/>
    <mergeCell ref="C46:E46"/>
    <mergeCell ref="L46:M46"/>
    <mergeCell ref="C41:E41"/>
    <mergeCell ref="L41:M41"/>
    <mergeCell ref="C42:E42"/>
    <mergeCell ref="L42:M42"/>
    <mergeCell ref="C43:E43"/>
    <mergeCell ref="L43:M43"/>
    <mergeCell ref="C50:E50"/>
    <mergeCell ref="L50:M50"/>
    <mergeCell ref="C51:E51"/>
    <mergeCell ref="L51:M51"/>
    <mergeCell ref="C52:E52"/>
    <mergeCell ref="L52:M52"/>
    <mergeCell ref="C47:E47"/>
    <mergeCell ref="L47:M47"/>
    <mergeCell ref="C48:E48"/>
    <mergeCell ref="L48:M48"/>
    <mergeCell ref="C49:E49"/>
    <mergeCell ref="L49:M49"/>
    <mergeCell ref="B75:M75"/>
    <mergeCell ref="B65:C65"/>
    <mergeCell ref="B63:C63"/>
    <mergeCell ref="D63:E63"/>
    <mergeCell ref="B64:C64"/>
    <mergeCell ref="L62:M62"/>
    <mergeCell ref="C59:E59"/>
    <mergeCell ref="L59:M59"/>
    <mergeCell ref="C60:E60"/>
    <mergeCell ref="L60:M60"/>
    <mergeCell ref="L61:M61"/>
    <mergeCell ref="G63:M63"/>
    <mergeCell ref="G64:I64"/>
    <mergeCell ref="L64:M64"/>
    <mergeCell ref="D65:M65"/>
    <mergeCell ref="B67:M67"/>
    <mergeCell ref="B69:M69"/>
    <mergeCell ref="B70:M70"/>
    <mergeCell ref="B72:M72"/>
    <mergeCell ref="B73:M73"/>
    <mergeCell ref="B62:H62"/>
    <mergeCell ref="B61:H61"/>
    <mergeCell ref="C56:E56"/>
    <mergeCell ref="L56:M56"/>
    <mergeCell ref="C57:E57"/>
    <mergeCell ref="L57:M57"/>
    <mergeCell ref="C58:E58"/>
    <mergeCell ref="L58:M58"/>
    <mergeCell ref="C53:E53"/>
    <mergeCell ref="L53:M53"/>
    <mergeCell ref="C54:E54"/>
    <mergeCell ref="L54:M54"/>
    <mergeCell ref="C55:E55"/>
    <mergeCell ref="L55:M55"/>
  </mergeCells>
  <phoneticPr fontId="4" type="noConversion"/>
  <dataValidations count="1">
    <dataValidation type="list" allowBlank="1" showDropDown="1" showInputMessage="1" showErrorMessage="1" sqref="J2:M2">
      <formula1>"마지막 업데이트: 2025-02-07"</formula1>
    </dataValidation>
  </dataValidations>
  <pageMargins left="0.7" right="0.7" top="0.75" bottom="0.75" header="0.3" footer="0.3"/>
  <pageSetup paperSize="9" scale="3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3"/>
  <sheetViews>
    <sheetView workbookViewId="0">
      <selection activeCell="B2" sqref="B2:D13"/>
    </sheetView>
  </sheetViews>
  <sheetFormatPr defaultRowHeight="16.5" x14ac:dyDescent="0.3"/>
  <sheetData>
    <row r="2" spans="2:4" ht="51" customHeight="1" x14ac:dyDescent="0.3">
      <c r="B2" s="46" t="s">
        <v>24</v>
      </c>
      <c r="C2" s="47"/>
      <c r="D2" s="47"/>
    </row>
    <row r="3" spans="2:4" ht="51" customHeight="1" x14ac:dyDescent="0.3">
      <c r="B3" s="46" t="s">
        <v>25</v>
      </c>
      <c r="C3" s="47"/>
      <c r="D3" s="47"/>
    </row>
    <row r="4" spans="2:4" ht="51" customHeight="1" x14ac:dyDescent="0.3">
      <c r="B4" s="46" t="s">
        <v>26</v>
      </c>
      <c r="C4" s="47"/>
      <c r="D4" s="47"/>
    </row>
    <row r="5" spans="2:4" ht="51" customHeight="1" x14ac:dyDescent="0.3">
      <c r="B5" s="46" t="s">
        <v>27</v>
      </c>
      <c r="C5" s="47"/>
      <c r="D5" s="47"/>
    </row>
    <row r="6" spans="2:4" ht="51" customHeight="1" x14ac:dyDescent="0.3">
      <c r="B6" s="46" t="s">
        <v>28</v>
      </c>
      <c r="C6" s="47"/>
      <c r="D6" s="47"/>
    </row>
    <row r="7" spans="2:4" ht="51" customHeight="1" x14ac:dyDescent="0.3">
      <c r="B7" s="46" t="s">
        <v>29</v>
      </c>
      <c r="C7" s="47"/>
      <c r="D7" s="47"/>
    </row>
    <row r="8" spans="2:4" ht="51" customHeight="1" x14ac:dyDescent="0.3">
      <c r="B8" s="46" t="s">
        <v>30</v>
      </c>
      <c r="C8" s="47"/>
      <c r="D8" s="47"/>
    </row>
    <row r="9" spans="2:4" ht="51" customHeight="1" x14ac:dyDescent="0.3">
      <c r="B9" s="46" t="s">
        <v>31</v>
      </c>
      <c r="C9" s="47"/>
      <c r="D9" s="47"/>
    </row>
    <row r="10" spans="2:4" ht="51" customHeight="1" x14ac:dyDescent="0.3">
      <c r="B10" s="46" t="s">
        <v>32</v>
      </c>
      <c r="C10" s="47"/>
      <c r="D10" s="47"/>
    </row>
    <row r="11" spans="2:4" ht="51" customHeight="1" x14ac:dyDescent="0.3">
      <c r="B11" s="46" t="s">
        <v>33</v>
      </c>
      <c r="C11" s="47"/>
      <c r="D11" s="47"/>
    </row>
    <row r="12" spans="2:4" ht="51" customHeight="1" x14ac:dyDescent="0.3">
      <c r="B12" s="46" t="s">
        <v>34</v>
      </c>
      <c r="C12" s="47"/>
      <c r="D12" s="47"/>
    </row>
    <row r="13" spans="2:4" ht="51" customHeight="1" x14ac:dyDescent="0.3">
      <c r="B13" s="46" t="s">
        <v>25</v>
      </c>
      <c r="C13" s="47"/>
      <c r="D13" s="47"/>
    </row>
  </sheetData>
  <mergeCells count="12">
    <mergeCell ref="B13:D13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2026 지출결의서</vt:lpstr>
      <vt:lpstr>Sheet1</vt:lpstr>
      <vt:lpstr>'2026 지출결의서'!Print_Area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 익진</dc:creator>
  <cp:lastModifiedBy>Master</cp:lastModifiedBy>
  <dcterms:created xsi:type="dcterms:W3CDTF">2025-01-10T00:39:36Z</dcterms:created>
  <dcterms:modified xsi:type="dcterms:W3CDTF">2026-09-28T14:41:47Z</dcterms:modified>
</cp:coreProperties>
</file>
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u12\OneDrive\Desktop\김세희\01_업무자료\경영지원업무\01_(비즈메카) 기안서 결제\8월\260821_명함\"/>
    </mc:Choice>
  </mc:AlternateContent>
  <xr:revisionPtr revIDLastSave="0" documentId="13_ncr:1_{7F4F3C94-E3DF-4213-98B1-16AB909799A0}" xr6:coauthVersionLast="47" xr6:coauthVersionMax="47" xr10:uidLastSave="{00000000-0000-0000-0000-000000000000}"/>
  <bookViews>
    <workbookView xWindow="15660" yWindow="-16320" windowWidth="29040" windowHeight="15720" xr2:uid="{B8FE43DA-3216-4FEA-8B60-9D9D68EE4F4C}"/>
  </bookViews>
  <sheets>
    <sheet name="2026 지출결의서" sheetId="1" r:id="rId1"/>
    <sheet name="Sheet1" sheetId="2" state="hidden" r:id="rId2"/>
  </sheets>
  <definedNames>
    <definedName name="_xlnm.Print_Area" localSheetId="0">'2026 지출결의서'!$A$1:$M$76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J12" i="1"/>
  <c r="J13" i="1"/>
  <c r="J11" i="1"/>
  <c r="B11" i="1"/>
  <c r="B12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D6" i="1"/>
  <c r="D7" i="1" s="1"/>
  <c r="I8" i="1" l="1"/>
  <c r="E8" i="1" s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3" i="1"/>
</calcChain>
</file>

<file path=xl/sharedStrings.xml><?xml version="1.0" encoding="utf-8"?>
<sst xmlns="http://schemas.openxmlformats.org/spreadsheetml/2006/main" count="87" uniqueCount="66">
  <si>
    <t>사업소명</t>
    <phoneticPr fontId="4" type="noConversion"/>
  </si>
  <si>
    <r>
      <t>(</t>
    </r>
    <r>
      <rPr>
        <sz val="11"/>
        <color theme="1"/>
        <rFont val="맑은 고딕"/>
        <family val="2"/>
        <scheme val="minor"/>
      </rPr>
      <t>단위 : KRW)</t>
    </r>
    <phoneticPr fontId="4" type="noConversion"/>
  </si>
  <si>
    <t>결
재</t>
  </si>
  <si>
    <t>작성일</t>
  </si>
  <si>
    <t>기안부서</t>
  </si>
  <si>
    <t>결제요청일</t>
  </si>
  <si>
    <t>기안자</t>
  </si>
  <si>
    <t>요청자</t>
  </si>
  <si>
    <t>금액</t>
  </si>
  <si>
    <t>일금</t>
  </si>
  <si>
    <t>순번</t>
  </si>
  <si>
    <t>품목(사유)</t>
  </si>
  <si>
    <t>업체명</t>
  </si>
  <si>
    <t>수량</t>
  </si>
  <si>
    <t>단가</t>
  </si>
  <si>
    <t>결제방법</t>
  </si>
  <si>
    <t>송금</t>
  </si>
  <si>
    <t>증빙구분</t>
  </si>
  <si>
    <t>계좌정보</t>
  </si>
  <si>
    <t>은행</t>
  </si>
  <si>
    <t>계좌번호</t>
  </si>
  <si>
    <t>예금주</t>
  </si>
  <si>
    <t>법인구분</t>
  </si>
  <si>
    <t>마지막 업데이트: 2025-01-14</t>
    <phoneticPr fontId="4" type="noConversion"/>
  </si>
  <si>
    <t>유한 뽀삐 엠보싱두루마리화장지50m</t>
  </si>
  <si>
    <t>마포걸레/극세사두레로[청색,경편A]</t>
  </si>
  <si>
    <t>고무장갑 태화 썬밴[중]핑크</t>
  </si>
  <si>
    <t>유한락스(오리지날) 18kg[16.6L]</t>
  </si>
  <si>
    <t>봉투 소[백] 58*75[1000장]</t>
  </si>
  <si>
    <t>태화 니트릴장갑플러스 100매 M</t>
  </si>
  <si>
    <t>봉투 38*50 [백색]막지[1묶음100장]</t>
  </si>
  <si>
    <t>무궁화 넘버원800g</t>
  </si>
  <si>
    <t>크리넥스 스카트핑크로션 솝물비누4L</t>
  </si>
  <si>
    <t>OPP테이프(백색)40M/A급</t>
  </si>
  <si>
    <t>크리넥스®드라이셀*47223 F250S</t>
  </si>
  <si>
    <t>지 출 결 의 서</t>
    <phoneticPr fontId="4" type="noConversion"/>
  </si>
  <si>
    <t>-</t>
    <phoneticPr fontId="4" type="noConversion"/>
  </si>
  <si>
    <t>세금계산서 - 전자</t>
    <phoneticPr fontId="4" type="noConversion"/>
  </si>
  <si>
    <t>상기와 같이 지출결의서를 작성 품의합니다.</t>
    <phoneticPr fontId="4" type="noConversion"/>
  </si>
  <si>
    <t>1. 주요내용</t>
    <phoneticPr fontId="4" type="noConversion"/>
  </si>
  <si>
    <t>끝.</t>
    <phoneticPr fontId="4" type="noConversion"/>
  </si>
  <si>
    <t>본사</t>
    <phoneticPr fontId="4" type="noConversion"/>
  </si>
  <si>
    <t>배송비</t>
    <phoneticPr fontId="4" type="noConversion"/>
  </si>
  <si>
    <t>내 역</t>
    <phoneticPr fontId="4" type="noConversion"/>
  </si>
  <si>
    <t>합 계</t>
    <phoneticPr fontId="4" type="noConversion"/>
  </si>
  <si>
    <t>비고</t>
    <phoneticPr fontId="4" type="noConversion"/>
  </si>
  <si>
    <t>대표이사</t>
    <phoneticPr fontId="4" type="noConversion"/>
  </si>
  <si>
    <t xml:space="preserve">  GSI  입금 요청</t>
    <phoneticPr fontId="4" type="noConversion"/>
  </si>
  <si>
    <t>-</t>
    <phoneticPr fontId="4" type="noConversion"/>
  </si>
  <si>
    <t>제목 : [GSI][본사][경영지원본부] 명함 제작 건.</t>
    <phoneticPr fontId="4" type="noConversion"/>
  </si>
  <si>
    <t>김세희 사원</t>
    <phoneticPr fontId="4" type="noConversion"/>
  </si>
  <si>
    <t>인사총무팀</t>
    <phoneticPr fontId="4" type="noConversion"/>
  </si>
  <si>
    <t>타라그래픽스</t>
    <phoneticPr fontId="4" type="noConversion"/>
  </si>
  <si>
    <t>GSI 명함</t>
    <phoneticPr fontId="4" type="noConversion"/>
  </si>
  <si>
    <t>KN 명함</t>
    <phoneticPr fontId="4" type="noConversion"/>
  </si>
  <si>
    <t>GSI 명함 가변작업</t>
    <phoneticPr fontId="4" type="noConversion"/>
  </si>
  <si>
    <t>재질: 반누보 250g</t>
    <phoneticPr fontId="4" type="noConversion"/>
  </si>
  <si>
    <t>재질: 스노우 250g</t>
    <phoneticPr fontId="4" type="noConversion"/>
  </si>
  <si>
    <t>2. 사    유</t>
    <phoneticPr fontId="4" type="noConversion"/>
  </si>
  <si>
    <t xml:space="preserve">  가. 본사 주소이전에 따라 명함 제작이 필요하여 요청함.</t>
    <phoneticPr fontId="4" type="noConversion"/>
  </si>
  <si>
    <t xml:space="preserve">  가. 견적서 1부.
  나. 명함 시안 1부.</t>
    <phoneticPr fontId="4" type="noConversion"/>
  </si>
  <si>
    <t>추후별도기재</t>
    <phoneticPr fontId="4" type="noConversion"/>
  </si>
  <si>
    <t>소계</t>
    <phoneticPr fontId="4" type="noConversion"/>
  </si>
  <si>
    <t>3. 첨     부</t>
    <phoneticPr fontId="4" type="noConversion"/>
  </si>
  <si>
    <t>부 가 세</t>
    <phoneticPr fontId="4" type="noConversion"/>
  </si>
  <si>
    <t xml:space="preserve">  가. GSI, KN 명함 제작 건.
  나. 제작 수량: 총 36개(GSI: 25, KN: 11)
  다. 제작 금액: 459,800원
  라. 계좌번호: 추후별도기재
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</si>
</sst>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₩&quot;#,##0;[Red]\-&quot;₩&quot;#,##0"/>
    <numFmt numFmtId="41" formatCode="_-* #,##0_-;\-* #,##0_-;_-* &quot;-&quot;_-;_-@_-"/>
    <numFmt numFmtId="176" formatCode="&quot;₩&quot;#,##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0"/>
      <color theme="3" tint="0.249977111117893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41" fontId="5" fillId="0" borderId="0" xfId="1" applyFont="1" applyAlignment="1">
      <alignment horizontal="right" vertical="center"/>
    </xf>
    <xf numFmtId="41" fontId="6" fillId="0" borderId="0" xfId="1" applyFont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right" vertical="center" wrapText="1"/>
    </xf>
    <xf numFmtId="41" fontId="6" fillId="0" borderId="2" xfId="1" applyFont="1" applyFill="1" applyBorder="1" applyAlignment="1">
      <alignment horizontal="right" vertical="center" wrapText="1"/>
    </xf>
    <xf numFmtId="41" fontId="6" fillId="2" borderId="2" xfId="1" applyFont="1" applyFill="1" applyBorder="1" applyAlignment="1">
      <alignment vertical="center" wrapText="1"/>
    </xf>
    <xf numFmtId="41" fontId="6" fillId="0" borderId="2" xfId="1" applyFont="1" applyBorder="1" applyAlignment="1">
      <alignment vertical="center" wrapText="1"/>
    </xf>
    <xf numFmtId="41" fontId="6" fillId="0" borderId="2" xfId="1" applyFont="1" applyFill="1" applyBorder="1" applyAlignment="1">
      <alignment horizontal="center" vertical="center" wrapText="1"/>
    </xf>
    <xf numFmtId="41" fontId="6" fillId="0" borderId="2" xfId="1" applyFont="1" applyBorder="1" applyAlignment="1">
      <alignment horizontal="right" vertical="center" wrapText="1"/>
    </xf>
    <xf numFmtId="6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14" fontId="6" fillId="0" borderId="0" xfId="0" applyNumberFormat="1" applyFont="1">
      <alignment vertical="center"/>
    </xf>
    <xf numFmtId="0" fontId="6" fillId="2" borderId="2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176" fontId="7" fillId="5" borderId="2" xfId="1" applyNumberFormat="1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6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14AE-7C7F-41D5-9DF0-BF977576B52D}">
  <dimension ref="B1:M78"/>
  <sheetViews>
    <sheetView showGridLines="0" tabSelected="1" view="pageBreakPreview" zoomScale="85" zoomScaleNormal="100" zoomScaleSheetLayoutView="85" workbookViewId="0">
      <selection activeCell="T11" sqref="T11"/>
    </sheetView>
  </sheetViews>
  <sheetFormatPr defaultColWidth="9" defaultRowHeight="16.5" x14ac:dyDescent="0.3"/>
  <cols>
    <col min="1" max="1" width="2.125" style="1" customWidth="1"/>
    <col min="2" max="2" width="5.625" style="1" customWidth="1"/>
    <col min="3" max="4" width="9" style="1"/>
    <col min="5" max="5" width="9" style="1" customWidth="1"/>
    <col min="6" max="6" width="21.125" style="1" customWidth="1"/>
    <col min="7" max="7" width="6.5" style="1" bestFit="1" customWidth="1"/>
    <col min="8" max="8" width="11.5" style="4" bestFit="1" customWidth="1"/>
    <col min="9" max="9" width="10.625" style="1" bestFit="1" customWidth="1"/>
    <col min="10" max="10" width="10.5" style="1" bestFit="1" customWidth="1"/>
    <col min="11" max="11" width="5.625" style="1" customWidth="1"/>
    <col min="12" max="12" width="15.625" style="1" customWidth="1"/>
    <col min="13" max="14" width="2.125" style="1" customWidth="1"/>
    <col min="15" max="15" width="10.125" style="1" bestFit="1" customWidth="1"/>
    <col min="16" max="18" width="9" style="1"/>
    <col min="19" max="19" width="10.5" style="1" bestFit="1" customWidth="1"/>
    <col min="20" max="16384" width="9" style="1"/>
  </cols>
  <sheetData>
    <row r="1" spans="2:13" x14ac:dyDescent="0.3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2:13" x14ac:dyDescent="0.3">
      <c r="B2" s="1" t="s">
        <v>1</v>
      </c>
      <c r="C2" s="2"/>
      <c r="J2" s="19" t="s">
        <v>23</v>
      </c>
      <c r="K2" s="19"/>
      <c r="L2" s="19"/>
    </row>
    <row r="3" spans="2:13" ht="30" customHeight="1" x14ac:dyDescent="0.3">
      <c r="B3" s="27" t="s">
        <v>35</v>
      </c>
      <c r="C3" s="27"/>
      <c r="D3" s="27"/>
      <c r="E3" s="27"/>
      <c r="F3" s="27"/>
      <c r="G3" s="27"/>
      <c r="H3" s="27"/>
      <c r="I3" s="27"/>
      <c r="J3" s="27"/>
      <c r="K3" s="22" t="s">
        <v>2</v>
      </c>
      <c r="L3" s="6" t="s">
        <v>46</v>
      </c>
    </row>
    <row r="4" spans="2:13" ht="51" customHeight="1" x14ac:dyDescent="0.3">
      <c r="B4" s="27"/>
      <c r="C4" s="27"/>
      <c r="D4" s="27"/>
      <c r="E4" s="27"/>
      <c r="F4" s="27"/>
      <c r="G4" s="27"/>
      <c r="H4" s="27"/>
      <c r="I4" s="27"/>
      <c r="J4" s="27"/>
      <c r="K4" s="22"/>
      <c r="L4" s="23"/>
    </row>
    <row r="5" spans="2:13" ht="27.6" customHeight="1" x14ac:dyDescent="0.3">
      <c r="B5" s="28" t="s">
        <v>49</v>
      </c>
      <c r="C5" s="29"/>
      <c r="D5" s="29"/>
      <c r="E5" s="29"/>
      <c r="F5" s="29"/>
      <c r="G5" s="29"/>
      <c r="H5" s="29"/>
      <c r="I5" s="29"/>
      <c r="J5" s="30"/>
      <c r="K5" s="22"/>
      <c r="L5" s="23"/>
    </row>
    <row r="6" spans="2:13" ht="25.15" customHeight="1" x14ac:dyDescent="0.3">
      <c r="B6" s="22" t="s">
        <v>3</v>
      </c>
      <c r="C6" s="22"/>
      <c r="D6" s="24">
        <f ca="1">TODAY()</f>
        <v>46255</v>
      </c>
      <c r="E6" s="24"/>
      <c r="F6" s="6" t="s">
        <v>4</v>
      </c>
      <c r="G6" s="25" t="s">
        <v>51</v>
      </c>
      <c r="H6" s="25"/>
      <c r="I6" s="6" t="s">
        <v>0</v>
      </c>
      <c r="J6" s="25" t="s">
        <v>41</v>
      </c>
      <c r="K6" s="25"/>
      <c r="L6" s="25"/>
      <c r="M6" s="3"/>
    </row>
    <row r="7" spans="2:13" ht="25.15" customHeight="1" x14ac:dyDescent="0.3">
      <c r="B7" s="22" t="s">
        <v>5</v>
      </c>
      <c r="C7" s="22"/>
      <c r="D7" s="31">
        <f ca="1">D6</f>
        <v>46255</v>
      </c>
      <c r="E7" s="31"/>
      <c r="F7" s="6" t="s">
        <v>6</v>
      </c>
      <c r="G7" s="25" t="s">
        <v>50</v>
      </c>
      <c r="H7" s="25"/>
      <c r="I7" s="6" t="s">
        <v>7</v>
      </c>
      <c r="J7" s="25" t="s">
        <v>50</v>
      </c>
      <c r="K7" s="25"/>
      <c r="L7" s="25"/>
      <c r="M7" s="3"/>
    </row>
    <row r="8" spans="2:13" ht="25.15" customHeight="1" x14ac:dyDescent="0.3">
      <c r="B8" s="22" t="s">
        <v>8</v>
      </c>
      <c r="C8" s="22"/>
      <c r="D8" s="6" t="s">
        <v>9</v>
      </c>
      <c r="E8" s="32" t="str">
        <f>NUMBERSTRING(I8, 1) &amp; "원 정"</f>
        <v>사십오만구천팔백원 정</v>
      </c>
      <c r="F8" s="32"/>
      <c r="G8" s="32"/>
      <c r="H8" s="32"/>
      <c r="I8" s="34">
        <f>I63</f>
        <v>459800</v>
      </c>
      <c r="J8" s="34"/>
      <c r="K8" s="34"/>
      <c r="L8" s="34"/>
    </row>
    <row r="9" spans="2:13" ht="25.15" customHeight="1" x14ac:dyDescent="0.3">
      <c r="B9" s="22" t="s">
        <v>43</v>
      </c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2:13" ht="25.15" customHeight="1" x14ac:dyDescent="0.3">
      <c r="B10" s="6" t="s">
        <v>10</v>
      </c>
      <c r="C10" s="22" t="s">
        <v>11</v>
      </c>
      <c r="D10" s="22"/>
      <c r="E10" s="22"/>
      <c r="F10" s="6" t="s">
        <v>12</v>
      </c>
      <c r="G10" s="6" t="s">
        <v>13</v>
      </c>
      <c r="H10" s="7" t="s">
        <v>14</v>
      </c>
      <c r="I10" s="6" t="s">
        <v>42</v>
      </c>
      <c r="J10" s="6" t="s">
        <v>62</v>
      </c>
      <c r="K10" s="22" t="s">
        <v>45</v>
      </c>
      <c r="L10" s="22"/>
    </row>
    <row r="11" spans="2:13" ht="45" customHeight="1" x14ac:dyDescent="0.3">
      <c r="B11" s="8">
        <f>IF(C11="","",ROW()-10)</f>
        <v>1</v>
      </c>
      <c r="C11" s="26" t="s">
        <v>53</v>
      </c>
      <c r="D11" s="26"/>
      <c r="E11" s="26"/>
      <c r="F11" s="9" t="s">
        <v>52</v>
      </c>
      <c r="G11" s="20">
        <v>25</v>
      </c>
      <c r="H11" s="10">
        <v>12000</v>
      </c>
      <c r="I11" s="15">
        <v>5000</v>
      </c>
      <c r="J11" s="15">
        <f>(G11*H11)+I11</f>
        <v>305000</v>
      </c>
      <c r="K11" s="26" t="s">
        <v>56</v>
      </c>
      <c r="L11" s="26"/>
    </row>
    <row r="12" spans="2:13" ht="45" customHeight="1" x14ac:dyDescent="0.3">
      <c r="B12" s="8">
        <f>IF(C12="","",ROW()-10)</f>
        <v>2</v>
      </c>
      <c r="C12" s="26" t="s">
        <v>55</v>
      </c>
      <c r="D12" s="26"/>
      <c r="E12" s="26"/>
      <c r="F12" s="9" t="s">
        <v>52</v>
      </c>
      <c r="G12" s="20">
        <v>25</v>
      </c>
      <c r="H12" s="10">
        <v>1000</v>
      </c>
      <c r="I12" s="15">
        <v>0</v>
      </c>
      <c r="J12" s="15">
        <f t="shared" ref="J12:J13" si="0">(G12*H12)+I12</f>
        <v>25000</v>
      </c>
      <c r="K12" s="26" t="s">
        <v>36</v>
      </c>
      <c r="L12" s="26"/>
    </row>
    <row r="13" spans="2:13" ht="45" customHeight="1" x14ac:dyDescent="0.3">
      <c r="B13" s="8">
        <f>IF(C13="","",ROW()-10)</f>
        <v>3</v>
      </c>
      <c r="C13" s="26" t="s">
        <v>54</v>
      </c>
      <c r="D13" s="26"/>
      <c r="E13" s="26"/>
      <c r="F13" s="9" t="s">
        <v>52</v>
      </c>
      <c r="G13" s="20">
        <v>11</v>
      </c>
      <c r="H13" s="10">
        <v>8000</v>
      </c>
      <c r="I13" s="15">
        <v>0</v>
      </c>
      <c r="J13" s="15">
        <f t="shared" si="0"/>
        <v>88000</v>
      </c>
      <c r="K13" s="26" t="s">
        <v>57</v>
      </c>
      <c r="L13" s="26"/>
    </row>
    <row r="14" spans="2:13" ht="54" hidden="1" customHeight="1" x14ac:dyDescent="0.3">
      <c r="B14" s="8">
        <v>2</v>
      </c>
      <c r="C14" s="26" t="s">
        <v>48</v>
      </c>
      <c r="D14" s="26"/>
      <c r="E14" s="26"/>
      <c r="F14" s="9" t="s">
        <v>48</v>
      </c>
      <c r="G14" s="20" t="s">
        <v>48</v>
      </c>
      <c r="H14" s="10" t="s">
        <v>48</v>
      </c>
      <c r="I14" s="15" t="s">
        <v>36</v>
      </c>
      <c r="J14" s="15" t="s">
        <v>36</v>
      </c>
      <c r="K14" s="26" t="s">
        <v>36</v>
      </c>
      <c r="L14" s="26"/>
    </row>
    <row r="15" spans="2:13" ht="49.5" hidden="1" customHeight="1" x14ac:dyDescent="0.3">
      <c r="B15" s="8">
        <v>3</v>
      </c>
      <c r="C15" s="26" t="s">
        <v>48</v>
      </c>
      <c r="D15" s="26"/>
      <c r="E15" s="26"/>
      <c r="F15" s="9" t="s">
        <v>48</v>
      </c>
      <c r="G15" s="20" t="s">
        <v>48</v>
      </c>
      <c r="H15" s="10" t="s">
        <v>48</v>
      </c>
      <c r="I15" s="15" t="s">
        <v>36</v>
      </c>
      <c r="J15" s="15" t="s">
        <v>36</v>
      </c>
      <c r="K15" s="26" t="s">
        <v>36</v>
      </c>
      <c r="L15" s="26"/>
    </row>
    <row r="16" spans="2:13" ht="30" hidden="1" customHeight="1" x14ac:dyDescent="0.3">
      <c r="B16" s="8" t="str">
        <f t="shared" ref="B16:B61" si="1">IF(C16="","",ROW()-10)</f>
        <v/>
      </c>
      <c r="C16" s="26"/>
      <c r="D16" s="26"/>
      <c r="E16" s="26"/>
      <c r="F16" s="9"/>
      <c r="G16" s="10"/>
      <c r="H16" s="11"/>
      <c r="I16" s="12" t="str">
        <f t="shared" ref="I16:I61" si="2">IF(H16="","",SUM(G16*H16))</f>
        <v/>
      </c>
      <c r="J16" s="12"/>
      <c r="K16" s="26"/>
      <c r="L16" s="26"/>
    </row>
    <row r="17" spans="2:12" ht="30" hidden="1" customHeight="1" x14ac:dyDescent="0.3">
      <c r="B17" s="8" t="str">
        <f t="shared" si="1"/>
        <v/>
      </c>
      <c r="C17" s="26"/>
      <c r="D17" s="26"/>
      <c r="E17" s="26"/>
      <c r="F17" s="9"/>
      <c r="G17" s="10"/>
      <c r="H17" s="11"/>
      <c r="I17" s="12" t="str">
        <f t="shared" si="2"/>
        <v/>
      </c>
      <c r="J17" s="12"/>
      <c r="K17" s="26"/>
      <c r="L17" s="26"/>
    </row>
    <row r="18" spans="2:12" ht="30" hidden="1" customHeight="1" x14ac:dyDescent="0.3">
      <c r="B18" s="8" t="str">
        <f t="shared" si="1"/>
        <v/>
      </c>
      <c r="C18" s="26"/>
      <c r="D18" s="26"/>
      <c r="E18" s="26"/>
      <c r="F18" s="9"/>
      <c r="G18" s="10"/>
      <c r="H18" s="11"/>
      <c r="I18" s="12" t="str">
        <f t="shared" si="2"/>
        <v/>
      </c>
      <c r="J18" s="12"/>
      <c r="K18" s="26"/>
      <c r="L18" s="26"/>
    </row>
    <row r="19" spans="2:12" ht="30" hidden="1" customHeight="1" x14ac:dyDescent="0.3">
      <c r="B19" s="8" t="str">
        <f t="shared" si="1"/>
        <v/>
      </c>
      <c r="C19" s="33"/>
      <c r="D19" s="26"/>
      <c r="E19" s="26"/>
      <c r="F19" s="9"/>
      <c r="G19" s="10"/>
      <c r="H19" s="11"/>
      <c r="I19" s="12" t="str">
        <f t="shared" si="2"/>
        <v/>
      </c>
      <c r="J19" s="12"/>
      <c r="K19" s="26"/>
      <c r="L19" s="26"/>
    </row>
    <row r="20" spans="2:12" ht="30" hidden="1" customHeight="1" x14ac:dyDescent="0.3">
      <c r="B20" s="8" t="str">
        <f t="shared" si="1"/>
        <v/>
      </c>
      <c r="C20" s="26"/>
      <c r="D20" s="26"/>
      <c r="E20" s="26"/>
      <c r="F20" s="9"/>
      <c r="G20" s="10"/>
      <c r="H20" s="11"/>
      <c r="I20" s="12" t="str">
        <f t="shared" si="2"/>
        <v/>
      </c>
      <c r="J20" s="12"/>
      <c r="K20" s="26"/>
      <c r="L20" s="26"/>
    </row>
    <row r="21" spans="2:12" ht="30" hidden="1" customHeight="1" x14ac:dyDescent="0.3">
      <c r="B21" s="8" t="str">
        <f t="shared" si="1"/>
        <v/>
      </c>
      <c r="C21" s="26"/>
      <c r="D21" s="26"/>
      <c r="E21" s="26"/>
      <c r="F21" s="9"/>
      <c r="G21" s="10"/>
      <c r="H21" s="11"/>
      <c r="I21" s="12" t="str">
        <f t="shared" si="2"/>
        <v/>
      </c>
      <c r="J21" s="12"/>
      <c r="K21" s="26"/>
      <c r="L21" s="26"/>
    </row>
    <row r="22" spans="2:12" ht="30" hidden="1" customHeight="1" x14ac:dyDescent="0.3">
      <c r="B22" s="8" t="str">
        <f t="shared" si="1"/>
        <v/>
      </c>
      <c r="C22" s="26"/>
      <c r="D22" s="26"/>
      <c r="E22" s="26"/>
      <c r="F22" s="9"/>
      <c r="G22" s="10"/>
      <c r="H22" s="11"/>
      <c r="I22" s="12" t="str">
        <f t="shared" si="2"/>
        <v/>
      </c>
      <c r="J22" s="12"/>
      <c r="K22" s="26"/>
      <c r="L22" s="26"/>
    </row>
    <row r="23" spans="2:12" ht="30" hidden="1" customHeight="1" x14ac:dyDescent="0.3">
      <c r="B23" s="8" t="str">
        <f t="shared" si="1"/>
        <v/>
      </c>
      <c r="C23" s="26"/>
      <c r="D23" s="26"/>
      <c r="E23" s="26"/>
      <c r="F23" s="9"/>
      <c r="G23" s="10"/>
      <c r="H23" s="11"/>
      <c r="I23" s="12" t="str">
        <f t="shared" si="2"/>
        <v/>
      </c>
      <c r="J23" s="12"/>
      <c r="K23" s="26"/>
      <c r="L23" s="26"/>
    </row>
    <row r="24" spans="2:12" ht="30" hidden="1" customHeight="1" x14ac:dyDescent="0.3">
      <c r="B24" s="8" t="str">
        <f t="shared" si="1"/>
        <v/>
      </c>
      <c r="C24" s="26"/>
      <c r="D24" s="26"/>
      <c r="E24" s="26"/>
      <c r="F24" s="9"/>
      <c r="G24" s="10"/>
      <c r="H24" s="11"/>
      <c r="I24" s="12" t="str">
        <f t="shared" si="2"/>
        <v/>
      </c>
      <c r="J24" s="12"/>
      <c r="K24" s="26"/>
      <c r="L24" s="26"/>
    </row>
    <row r="25" spans="2:12" ht="30" hidden="1" customHeight="1" x14ac:dyDescent="0.3">
      <c r="B25" s="8" t="str">
        <f t="shared" si="1"/>
        <v/>
      </c>
      <c r="C25" s="26"/>
      <c r="D25" s="26"/>
      <c r="E25" s="26"/>
      <c r="F25" s="9"/>
      <c r="G25" s="13"/>
      <c r="H25" s="11"/>
      <c r="I25" s="12" t="str">
        <f t="shared" si="2"/>
        <v/>
      </c>
      <c r="J25" s="12"/>
      <c r="K25" s="26"/>
      <c r="L25" s="26"/>
    </row>
    <row r="26" spans="2:12" ht="30" hidden="1" customHeight="1" x14ac:dyDescent="0.3">
      <c r="B26" s="8" t="str">
        <f t="shared" si="1"/>
        <v/>
      </c>
      <c r="C26" s="26"/>
      <c r="D26" s="26"/>
      <c r="E26" s="26"/>
      <c r="F26" s="9"/>
      <c r="G26" s="13"/>
      <c r="H26" s="11"/>
      <c r="I26" s="12" t="str">
        <f t="shared" si="2"/>
        <v/>
      </c>
      <c r="J26" s="12"/>
      <c r="K26" s="26"/>
      <c r="L26" s="26"/>
    </row>
    <row r="27" spans="2:12" ht="30" hidden="1" customHeight="1" x14ac:dyDescent="0.25">
      <c r="B27" s="8" t="str">
        <f t="shared" si="1"/>
        <v/>
      </c>
      <c r="C27" s="26"/>
      <c r="D27" s="26"/>
      <c r="E27" s="26"/>
      <c r="F27" s="9"/>
      <c r="G27" s="14"/>
      <c r="H27" s="11"/>
      <c r="I27" s="12" t="str">
        <f t="shared" si="2"/>
        <v/>
      </c>
      <c r="J27" s="12"/>
      <c r="K27" s="35"/>
      <c r="L27" s="35"/>
    </row>
    <row r="28" spans="2:12" ht="30" hidden="1" customHeight="1" x14ac:dyDescent="0.3">
      <c r="B28" s="8" t="str">
        <f t="shared" si="1"/>
        <v/>
      </c>
      <c r="C28" s="26"/>
      <c r="D28" s="26"/>
      <c r="E28" s="26"/>
      <c r="F28" s="9"/>
      <c r="G28" s="14"/>
      <c r="H28" s="11"/>
      <c r="I28" s="12" t="str">
        <f t="shared" si="2"/>
        <v/>
      </c>
      <c r="J28" s="12"/>
      <c r="K28" s="25"/>
      <c r="L28" s="25"/>
    </row>
    <row r="29" spans="2:12" ht="30" hidden="1" customHeight="1" x14ac:dyDescent="0.3">
      <c r="B29" s="8" t="str">
        <f t="shared" si="1"/>
        <v/>
      </c>
      <c r="C29" s="25"/>
      <c r="D29" s="25"/>
      <c r="E29" s="25"/>
      <c r="F29" s="9"/>
      <c r="G29" s="14"/>
      <c r="H29" s="11"/>
      <c r="I29" s="15" t="str">
        <f t="shared" si="2"/>
        <v/>
      </c>
      <c r="J29" s="12"/>
      <c r="K29" s="25"/>
      <c r="L29" s="25"/>
    </row>
    <row r="30" spans="2:12" ht="30" hidden="1" customHeight="1" x14ac:dyDescent="0.3">
      <c r="B30" s="8" t="str">
        <f t="shared" si="1"/>
        <v/>
      </c>
      <c r="C30" s="25"/>
      <c r="D30" s="25"/>
      <c r="E30" s="25"/>
      <c r="F30" s="9"/>
      <c r="G30" s="14"/>
      <c r="H30" s="11"/>
      <c r="I30" s="15" t="str">
        <f t="shared" si="2"/>
        <v/>
      </c>
      <c r="J30" s="12"/>
      <c r="K30" s="25"/>
      <c r="L30" s="25"/>
    </row>
    <row r="31" spans="2:12" ht="30" hidden="1" customHeight="1" x14ac:dyDescent="0.3">
      <c r="B31" s="8" t="str">
        <f t="shared" si="1"/>
        <v/>
      </c>
      <c r="C31" s="25"/>
      <c r="D31" s="25"/>
      <c r="E31" s="25"/>
      <c r="F31" s="9"/>
      <c r="G31" s="14"/>
      <c r="H31" s="11"/>
      <c r="I31" s="15" t="str">
        <f t="shared" si="2"/>
        <v/>
      </c>
      <c r="J31" s="12"/>
      <c r="K31" s="25"/>
      <c r="L31" s="25"/>
    </row>
    <row r="32" spans="2:12" ht="30" hidden="1" customHeight="1" x14ac:dyDescent="0.3">
      <c r="B32" s="8" t="str">
        <f t="shared" si="1"/>
        <v/>
      </c>
      <c r="C32" s="25"/>
      <c r="D32" s="25"/>
      <c r="E32" s="25"/>
      <c r="F32" s="9"/>
      <c r="G32" s="14"/>
      <c r="H32" s="11"/>
      <c r="I32" s="15" t="str">
        <f t="shared" si="2"/>
        <v/>
      </c>
      <c r="J32" s="12"/>
      <c r="K32" s="25"/>
      <c r="L32" s="25"/>
    </row>
    <row r="33" spans="2:12" ht="30" hidden="1" customHeight="1" x14ac:dyDescent="0.3">
      <c r="B33" s="8" t="str">
        <f t="shared" si="1"/>
        <v/>
      </c>
      <c r="C33" s="25"/>
      <c r="D33" s="25"/>
      <c r="E33" s="25"/>
      <c r="F33" s="9"/>
      <c r="G33" s="14"/>
      <c r="H33" s="11"/>
      <c r="I33" s="15" t="str">
        <f t="shared" si="2"/>
        <v/>
      </c>
      <c r="J33" s="12"/>
      <c r="K33" s="25"/>
      <c r="L33" s="25"/>
    </row>
    <row r="34" spans="2:12" ht="30" hidden="1" customHeight="1" x14ac:dyDescent="0.3">
      <c r="B34" s="8" t="str">
        <f t="shared" si="1"/>
        <v/>
      </c>
      <c r="C34" s="25"/>
      <c r="D34" s="25"/>
      <c r="E34" s="25"/>
      <c r="F34" s="9"/>
      <c r="G34" s="14"/>
      <c r="H34" s="11"/>
      <c r="I34" s="15" t="str">
        <f t="shared" si="2"/>
        <v/>
      </c>
      <c r="J34" s="12"/>
      <c r="K34" s="25"/>
      <c r="L34" s="25"/>
    </row>
    <row r="35" spans="2:12" ht="30" hidden="1" customHeight="1" x14ac:dyDescent="0.3">
      <c r="B35" s="8" t="str">
        <f t="shared" si="1"/>
        <v/>
      </c>
      <c r="C35" s="25"/>
      <c r="D35" s="25"/>
      <c r="E35" s="25"/>
      <c r="F35" s="9"/>
      <c r="G35" s="14"/>
      <c r="H35" s="11"/>
      <c r="I35" s="15" t="str">
        <f t="shared" si="2"/>
        <v/>
      </c>
      <c r="J35" s="12"/>
      <c r="K35" s="25"/>
      <c r="L35" s="25"/>
    </row>
    <row r="36" spans="2:12" ht="30" hidden="1" customHeight="1" x14ac:dyDescent="0.3">
      <c r="B36" s="8" t="str">
        <f t="shared" si="1"/>
        <v/>
      </c>
      <c r="C36" s="25"/>
      <c r="D36" s="25"/>
      <c r="E36" s="25"/>
      <c r="F36" s="9"/>
      <c r="G36" s="14"/>
      <c r="H36" s="11"/>
      <c r="I36" s="15" t="str">
        <f t="shared" si="2"/>
        <v/>
      </c>
      <c r="J36" s="12"/>
      <c r="K36" s="25"/>
      <c r="L36" s="25"/>
    </row>
    <row r="37" spans="2:12" ht="30" hidden="1" customHeight="1" x14ac:dyDescent="0.3">
      <c r="B37" s="8" t="str">
        <f t="shared" si="1"/>
        <v/>
      </c>
      <c r="C37" s="25"/>
      <c r="D37" s="25"/>
      <c r="E37" s="25"/>
      <c r="F37" s="9"/>
      <c r="G37" s="14"/>
      <c r="H37" s="11"/>
      <c r="I37" s="15" t="str">
        <f t="shared" si="2"/>
        <v/>
      </c>
      <c r="J37" s="12"/>
      <c r="K37" s="25"/>
      <c r="L37" s="25"/>
    </row>
    <row r="38" spans="2:12" ht="30" hidden="1" customHeight="1" x14ac:dyDescent="0.3">
      <c r="B38" s="8" t="str">
        <f t="shared" si="1"/>
        <v/>
      </c>
      <c r="C38" s="25"/>
      <c r="D38" s="25"/>
      <c r="E38" s="25"/>
      <c r="F38" s="9"/>
      <c r="G38" s="14"/>
      <c r="H38" s="11"/>
      <c r="I38" s="15" t="str">
        <f t="shared" si="2"/>
        <v/>
      </c>
      <c r="J38" s="12"/>
      <c r="K38" s="25"/>
      <c r="L38" s="25"/>
    </row>
    <row r="39" spans="2:12" ht="30" hidden="1" customHeight="1" x14ac:dyDescent="0.3">
      <c r="B39" s="8" t="str">
        <f t="shared" si="1"/>
        <v/>
      </c>
      <c r="C39" s="25"/>
      <c r="D39" s="25"/>
      <c r="E39" s="25"/>
      <c r="F39" s="9"/>
      <c r="G39" s="14"/>
      <c r="H39" s="11"/>
      <c r="I39" s="15" t="str">
        <f t="shared" si="2"/>
        <v/>
      </c>
      <c r="J39" s="12"/>
      <c r="K39" s="25"/>
      <c r="L39" s="25"/>
    </row>
    <row r="40" spans="2:12" ht="30" hidden="1" customHeight="1" x14ac:dyDescent="0.3">
      <c r="B40" s="8" t="str">
        <f t="shared" si="1"/>
        <v/>
      </c>
      <c r="C40" s="25"/>
      <c r="D40" s="25"/>
      <c r="E40" s="25"/>
      <c r="F40" s="9"/>
      <c r="G40" s="14"/>
      <c r="H40" s="11"/>
      <c r="I40" s="15" t="str">
        <f t="shared" si="2"/>
        <v/>
      </c>
      <c r="J40" s="12"/>
      <c r="K40" s="25"/>
      <c r="L40" s="25"/>
    </row>
    <row r="41" spans="2:12" ht="30" hidden="1" customHeight="1" x14ac:dyDescent="0.3">
      <c r="B41" s="8" t="str">
        <f t="shared" si="1"/>
        <v/>
      </c>
      <c r="C41" s="25"/>
      <c r="D41" s="25"/>
      <c r="E41" s="25"/>
      <c r="F41" s="9"/>
      <c r="G41" s="14"/>
      <c r="H41" s="11"/>
      <c r="I41" s="15" t="str">
        <f t="shared" si="2"/>
        <v/>
      </c>
      <c r="J41" s="12"/>
      <c r="K41" s="25"/>
      <c r="L41" s="25"/>
    </row>
    <row r="42" spans="2:12" ht="30" hidden="1" customHeight="1" x14ac:dyDescent="0.3">
      <c r="B42" s="8" t="str">
        <f t="shared" si="1"/>
        <v/>
      </c>
      <c r="C42" s="25"/>
      <c r="D42" s="25"/>
      <c r="E42" s="25"/>
      <c r="F42" s="9"/>
      <c r="G42" s="14"/>
      <c r="H42" s="11"/>
      <c r="I42" s="15" t="str">
        <f t="shared" si="2"/>
        <v/>
      </c>
      <c r="J42" s="12"/>
      <c r="K42" s="25"/>
      <c r="L42" s="25"/>
    </row>
    <row r="43" spans="2:12" ht="30" hidden="1" customHeight="1" x14ac:dyDescent="0.3">
      <c r="B43" s="8" t="str">
        <f t="shared" si="1"/>
        <v/>
      </c>
      <c r="C43" s="25"/>
      <c r="D43" s="25"/>
      <c r="E43" s="25"/>
      <c r="F43" s="9"/>
      <c r="G43" s="14"/>
      <c r="H43" s="11"/>
      <c r="I43" s="15" t="str">
        <f t="shared" si="2"/>
        <v/>
      </c>
      <c r="J43" s="12"/>
      <c r="K43" s="25"/>
      <c r="L43" s="25"/>
    </row>
    <row r="44" spans="2:12" ht="30" hidden="1" customHeight="1" x14ac:dyDescent="0.3">
      <c r="B44" s="8" t="str">
        <f t="shared" si="1"/>
        <v/>
      </c>
      <c r="C44" s="25"/>
      <c r="D44" s="25"/>
      <c r="E44" s="25"/>
      <c r="F44" s="9"/>
      <c r="G44" s="14"/>
      <c r="H44" s="11"/>
      <c r="I44" s="15" t="str">
        <f t="shared" si="2"/>
        <v/>
      </c>
      <c r="J44" s="12"/>
      <c r="K44" s="25"/>
      <c r="L44" s="25"/>
    </row>
    <row r="45" spans="2:12" ht="30" hidden="1" customHeight="1" x14ac:dyDescent="0.3">
      <c r="B45" s="8" t="str">
        <f t="shared" si="1"/>
        <v/>
      </c>
      <c r="C45" s="25"/>
      <c r="D45" s="25"/>
      <c r="E45" s="25"/>
      <c r="F45" s="9"/>
      <c r="G45" s="14"/>
      <c r="H45" s="16"/>
      <c r="I45" s="15" t="str">
        <f t="shared" si="2"/>
        <v/>
      </c>
      <c r="J45" s="12"/>
      <c r="K45" s="25"/>
      <c r="L45" s="25"/>
    </row>
    <row r="46" spans="2:12" ht="30" hidden="1" customHeight="1" x14ac:dyDescent="0.3">
      <c r="B46" s="8" t="str">
        <f t="shared" si="1"/>
        <v/>
      </c>
      <c r="C46" s="25"/>
      <c r="D46" s="25"/>
      <c r="E46" s="25"/>
      <c r="F46" s="9"/>
      <c r="G46" s="14"/>
      <c r="H46" s="16"/>
      <c r="I46" s="15" t="str">
        <f t="shared" si="2"/>
        <v/>
      </c>
      <c r="J46" s="12"/>
      <c r="K46" s="25"/>
      <c r="L46" s="25"/>
    </row>
    <row r="47" spans="2:12" ht="30" hidden="1" customHeight="1" x14ac:dyDescent="0.3">
      <c r="B47" s="8" t="str">
        <f t="shared" si="1"/>
        <v/>
      </c>
      <c r="C47" s="25"/>
      <c r="D47" s="25"/>
      <c r="E47" s="25"/>
      <c r="F47" s="9"/>
      <c r="G47" s="14"/>
      <c r="H47" s="16"/>
      <c r="I47" s="15" t="str">
        <f t="shared" si="2"/>
        <v/>
      </c>
      <c r="J47" s="12"/>
      <c r="K47" s="25"/>
      <c r="L47" s="25"/>
    </row>
    <row r="48" spans="2:12" ht="30" hidden="1" customHeight="1" x14ac:dyDescent="0.3">
      <c r="B48" s="8" t="str">
        <f t="shared" si="1"/>
        <v/>
      </c>
      <c r="C48" s="25"/>
      <c r="D48" s="25"/>
      <c r="E48" s="25"/>
      <c r="F48" s="9"/>
      <c r="G48" s="14"/>
      <c r="H48" s="16"/>
      <c r="I48" s="15" t="str">
        <f t="shared" si="2"/>
        <v/>
      </c>
      <c r="J48" s="12"/>
      <c r="K48" s="25"/>
      <c r="L48" s="25"/>
    </row>
    <row r="49" spans="2:12" ht="30" hidden="1" customHeight="1" x14ac:dyDescent="0.3">
      <c r="B49" s="8" t="str">
        <f t="shared" si="1"/>
        <v/>
      </c>
      <c r="C49" s="25"/>
      <c r="D49" s="25"/>
      <c r="E49" s="25"/>
      <c r="F49" s="9"/>
      <c r="G49" s="14"/>
      <c r="H49" s="16"/>
      <c r="I49" s="15" t="str">
        <f t="shared" si="2"/>
        <v/>
      </c>
      <c r="J49" s="12"/>
      <c r="K49" s="25"/>
      <c r="L49" s="25"/>
    </row>
    <row r="50" spans="2:12" ht="30" hidden="1" customHeight="1" x14ac:dyDescent="0.3">
      <c r="B50" s="8" t="str">
        <f t="shared" si="1"/>
        <v/>
      </c>
      <c r="C50" s="25"/>
      <c r="D50" s="25"/>
      <c r="E50" s="25"/>
      <c r="F50" s="9"/>
      <c r="G50" s="14"/>
      <c r="H50" s="16"/>
      <c r="I50" s="15" t="str">
        <f t="shared" si="2"/>
        <v/>
      </c>
      <c r="J50" s="12"/>
      <c r="K50" s="25"/>
      <c r="L50" s="25"/>
    </row>
    <row r="51" spans="2:12" ht="30" hidden="1" customHeight="1" x14ac:dyDescent="0.3">
      <c r="B51" s="8" t="str">
        <f t="shared" si="1"/>
        <v/>
      </c>
      <c r="C51" s="25"/>
      <c r="D51" s="25"/>
      <c r="E51" s="25"/>
      <c r="F51" s="9"/>
      <c r="G51" s="14"/>
      <c r="H51" s="16"/>
      <c r="I51" s="15" t="str">
        <f t="shared" si="2"/>
        <v/>
      </c>
      <c r="J51" s="12"/>
      <c r="K51" s="25"/>
      <c r="L51" s="25"/>
    </row>
    <row r="52" spans="2:12" ht="30" hidden="1" customHeight="1" x14ac:dyDescent="0.3">
      <c r="B52" s="8" t="str">
        <f t="shared" si="1"/>
        <v/>
      </c>
      <c r="C52" s="25"/>
      <c r="D52" s="25"/>
      <c r="E52" s="25"/>
      <c r="F52" s="9"/>
      <c r="G52" s="14"/>
      <c r="H52" s="16"/>
      <c r="I52" s="15" t="str">
        <f t="shared" si="2"/>
        <v/>
      </c>
      <c r="J52" s="12"/>
      <c r="K52" s="25"/>
      <c r="L52" s="25"/>
    </row>
    <row r="53" spans="2:12" ht="30" hidden="1" customHeight="1" x14ac:dyDescent="0.3">
      <c r="B53" s="8" t="str">
        <f t="shared" si="1"/>
        <v/>
      </c>
      <c r="C53" s="25"/>
      <c r="D53" s="25"/>
      <c r="E53" s="25"/>
      <c r="F53" s="9"/>
      <c r="G53" s="14"/>
      <c r="H53" s="16"/>
      <c r="I53" s="15" t="str">
        <f t="shared" si="2"/>
        <v/>
      </c>
      <c r="J53" s="12"/>
      <c r="K53" s="25"/>
      <c r="L53" s="25"/>
    </row>
    <row r="54" spans="2:12" ht="30" hidden="1" customHeight="1" x14ac:dyDescent="0.3">
      <c r="B54" s="8" t="str">
        <f t="shared" si="1"/>
        <v/>
      </c>
      <c r="C54" s="25"/>
      <c r="D54" s="25"/>
      <c r="E54" s="25"/>
      <c r="F54" s="9"/>
      <c r="G54" s="14"/>
      <c r="H54" s="16"/>
      <c r="I54" s="15" t="str">
        <f t="shared" si="2"/>
        <v/>
      </c>
      <c r="J54" s="12"/>
      <c r="K54" s="25"/>
      <c r="L54" s="25"/>
    </row>
    <row r="55" spans="2:12" ht="30" hidden="1" customHeight="1" x14ac:dyDescent="0.3">
      <c r="B55" s="8" t="str">
        <f t="shared" si="1"/>
        <v/>
      </c>
      <c r="C55" s="25"/>
      <c r="D55" s="25"/>
      <c r="E55" s="25"/>
      <c r="F55" s="9"/>
      <c r="G55" s="14"/>
      <c r="H55" s="16"/>
      <c r="I55" s="15" t="str">
        <f t="shared" si="2"/>
        <v/>
      </c>
      <c r="J55" s="12"/>
      <c r="K55" s="25"/>
      <c r="L55" s="25"/>
    </row>
    <row r="56" spans="2:12" ht="30" hidden="1" customHeight="1" x14ac:dyDescent="0.3">
      <c r="B56" s="8" t="str">
        <f t="shared" si="1"/>
        <v/>
      </c>
      <c r="C56" s="25"/>
      <c r="D56" s="25"/>
      <c r="E56" s="25"/>
      <c r="F56" s="9"/>
      <c r="G56" s="14"/>
      <c r="H56" s="16"/>
      <c r="I56" s="15" t="str">
        <f t="shared" si="2"/>
        <v/>
      </c>
      <c r="J56" s="12"/>
      <c r="K56" s="25"/>
      <c r="L56" s="25"/>
    </row>
    <row r="57" spans="2:12" ht="30" hidden="1" customHeight="1" x14ac:dyDescent="0.3">
      <c r="B57" s="8" t="str">
        <f t="shared" si="1"/>
        <v/>
      </c>
      <c r="C57" s="25"/>
      <c r="D57" s="25"/>
      <c r="E57" s="25"/>
      <c r="F57" s="9"/>
      <c r="G57" s="14"/>
      <c r="H57" s="16"/>
      <c r="I57" s="17" t="str">
        <f t="shared" si="2"/>
        <v/>
      </c>
      <c r="J57" s="12"/>
      <c r="K57" s="25"/>
      <c r="L57" s="25"/>
    </row>
    <row r="58" spans="2:12" ht="30" hidden="1" customHeight="1" x14ac:dyDescent="0.3">
      <c r="B58" s="8" t="str">
        <f t="shared" si="1"/>
        <v/>
      </c>
      <c r="C58" s="25"/>
      <c r="D58" s="25"/>
      <c r="E58" s="25"/>
      <c r="F58" s="9"/>
      <c r="G58" s="14"/>
      <c r="H58" s="16"/>
      <c r="I58" s="17" t="str">
        <f t="shared" si="2"/>
        <v/>
      </c>
      <c r="J58" s="12"/>
      <c r="K58" s="25"/>
      <c r="L58" s="25"/>
    </row>
    <row r="59" spans="2:12" ht="30" hidden="1" customHeight="1" x14ac:dyDescent="0.3">
      <c r="B59" s="8" t="str">
        <f t="shared" si="1"/>
        <v/>
      </c>
      <c r="C59" s="25"/>
      <c r="D59" s="25"/>
      <c r="E59" s="25"/>
      <c r="F59" s="9"/>
      <c r="G59" s="14"/>
      <c r="H59" s="16"/>
      <c r="I59" s="17" t="str">
        <f t="shared" si="2"/>
        <v/>
      </c>
      <c r="J59" s="12"/>
      <c r="K59" s="25"/>
      <c r="L59" s="25"/>
    </row>
    <row r="60" spans="2:12" ht="30" hidden="1" customHeight="1" x14ac:dyDescent="0.3">
      <c r="B60" s="8" t="str">
        <f t="shared" si="1"/>
        <v/>
      </c>
      <c r="C60" s="25"/>
      <c r="D60" s="25"/>
      <c r="E60" s="25"/>
      <c r="F60" s="9"/>
      <c r="G60" s="14"/>
      <c r="H60" s="16"/>
      <c r="I60" s="17" t="str">
        <f t="shared" si="2"/>
        <v/>
      </c>
      <c r="J60" s="12"/>
      <c r="K60" s="25"/>
      <c r="L60" s="25"/>
    </row>
    <row r="61" spans="2:12" ht="30" hidden="1" customHeight="1" x14ac:dyDescent="0.3">
      <c r="B61" s="8" t="str">
        <f t="shared" si="1"/>
        <v/>
      </c>
      <c r="C61" s="25"/>
      <c r="D61" s="25"/>
      <c r="E61" s="25"/>
      <c r="F61" s="9"/>
      <c r="G61" s="14"/>
      <c r="H61" s="16"/>
      <c r="I61" s="17" t="str">
        <f t="shared" si="2"/>
        <v/>
      </c>
      <c r="J61" s="12"/>
      <c r="K61" s="25"/>
      <c r="L61" s="25"/>
    </row>
    <row r="62" spans="2:12" ht="25.15" customHeight="1" x14ac:dyDescent="0.3">
      <c r="B62" s="22" t="s">
        <v>64</v>
      </c>
      <c r="C62" s="22"/>
      <c r="D62" s="22"/>
      <c r="E62" s="22"/>
      <c r="F62" s="22"/>
      <c r="G62" s="22"/>
      <c r="H62" s="22"/>
      <c r="I62" s="37">
        <v>41800</v>
      </c>
      <c r="J62" s="37"/>
      <c r="K62" s="26" t="s">
        <v>36</v>
      </c>
      <c r="L62" s="26"/>
    </row>
    <row r="63" spans="2:12" ht="25.15" customHeight="1" x14ac:dyDescent="0.3">
      <c r="B63" s="22" t="s">
        <v>44</v>
      </c>
      <c r="C63" s="22"/>
      <c r="D63" s="22"/>
      <c r="E63" s="22"/>
      <c r="F63" s="22"/>
      <c r="G63" s="22"/>
      <c r="H63" s="22"/>
      <c r="I63" s="37">
        <f>SUM(J11:J13,I62)</f>
        <v>459800</v>
      </c>
      <c r="J63" s="37"/>
      <c r="K63" s="26" t="s">
        <v>36</v>
      </c>
      <c r="L63" s="26"/>
    </row>
    <row r="64" spans="2:12" ht="25.15" customHeight="1" x14ac:dyDescent="0.3">
      <c r="B64" s="22" t="s">
        <v>15</v>
      </c>
      <c r="C64" s="22"/>
      <c r="D64" s="25" t="s">
        <v>16</v>
      </c>
      <c r="E64" s="25"/>
      <c r="F64" s="6" t="s">
        <v>17</v>
      </c>
      <c r="G64" s="25" t="s">
        <v>37</v>
      </c>
      <c r="H64" s="25"/>
      <c r="I64" s="25"/>
      <c r="J64" s="25"/>
      <c r="K64" s="25"/>
      <c r="L64" s="25"/>
    </row>
    <row r="65" spans="2:12" ht="25.15" customHeight="1" x14ac:dyDescent="0.3">
      <c r="B65" s="22" t="s">
        <v>18</v>
      </c>
      <c r="C65" s="22"/>
      <c r="D65" s="6" t="s">
        <v>19</v>
      </c>
      <c r="E65" s="18" t="s">
        <v>36</v>
      </c>
      <c r="F65" s="6" t="s">
        <v>20</v>
      </c>
      <c r="G65" s="38" t="s">
        <v>61</v>
      </c>
      <c r="H65" s="38"/>
      <c r="I65" s="38"/>
      <c r="J65" s="6" t="s">
        <v>21</v>
      </c>
      <c r="K65" s="25" t="s">
        <v>61</v>
      </c>
      <c r="L65" s="25"/>
    </row>
    <row r="66" spans="2:12" ht="25.15" customHeight="1" x14ac:dyDescent="0.3">
      <c r="B66" s="22" t="s">
        <v>22</v>
      </c>
      <c r="C66" s="22"/>
      <c r="D66" s="39" t="s">
        <v>47</v>
      </c>
      <c r="E66" s="40"/>
      <c r="F66" s="40"/>
      <c r="G66" s="40"/>
      <c r="H66" s="40"/>
      <c r="I66" s="40"/>
      <c r="J66" s="40"/>
      <c r="K66" s="40"/>
      <c r="L66" s="41"/>
    </row>
    <row r="67" spans="2:12" x14ac:dyDescent="0.3">
      <c r="B67" s="3"/>
      <c r="C67" s="3"/>
      <c r="D67" s="3"/>
      <c r="E67" s="3"/>
      <c r="F67" s="3"/>
      <c r="G67" s="3"/>
      <c r="H67" s="5"/>
      <c r="I67" s="3"/>
      <c r="J67" s="3"/>
      <c r="K67" s="3"/>
      <c r="L67" s="3"/>
    </row>
    <row r="68" spans="2:12" ht="17.25" customHeight="1" x14ac:dyDescent="0.3">
      <c r="B68" s="42" t="s">
        <v>38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2:12" x14ac:dyDescent="0.3">
      <c r="B69" s="3"/>
      <c r="C69" s="3"/>
      <c r="D69" s="3"/>
      <c r="E69" s="3"/>
      <c r="F69" s="3"/>
      <c r="G69" s="3"/>
      <c r="H69" s="5"/>
      <c r="I69" s="3"/>
      <c r="J69" s="3"/>
      <c r="K69" s="3"/>
      <c r="L69" s="3"/>
    </row>
    <row r="70" spans="2:12" ht="17.25" customHeight="1" x14ac:dyDescent="0.3">
      <c r="B70" s="42" t="s">
        <v>39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2:12" ht="87" customHeight="1" x14ac:dyDescent="0.3">
      <c r="B71" s="36" t="s">
        <v>65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2:12" ht="17.25" x14ac:dyDescent="0.3">
      <c r="B72" s="42" t="s">
        <v>58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2:12" ht="39.75" customHeight="1" x14ac:dyDescent="0.3">
      <c r="B73" s="36" t="s">
        <v>59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2:12" ht="17.25" x14ac:dyDescent="0.3">
      <c r="B74" s="42" t="s">
        <v>63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2:12" ht="36" customHeight="1" x14ac:dyDescent="0.3">
      <c r="B75" s="36" t="s">
        <v>60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2:12" x14ac:dyDescent="0.3">
      <c r="B76" s="36" t="s">
        <v>40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2:12" x14ac:dyDescent="0.3">
      <c r="H77" s="1"/>
    </row>
    <row r="78" spans="2:12" x14ac:dyDescent="0.3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</sheetData>
  <protectedRanges>
    <protectedRange algorithmName="SHA-512" hashValue="qAAaSxdcCzritEHx0hkNzh7ZaZyVQqWmLOZaL5KHN1tPPyKYC4GBNwuEL6WsbdcGxo4oCjOfoWY6dgIuDdT6kA==" saltValue="uGmcMPPduR93sptcPrrfaA==" spinCount="100000" sqref="J2 L2" name="범위1"/>
  </protectedRanges>
  <mergeCells count="144">
    <mergeCell ref="B72:L72"/>
    <mergeCell ref="B73:L73"/>
    <mergeCell ref="C57:E57"/>
    <mergeCell ref="K57:L57"/>
    <mergeCell ref="C58:E58"/>
    <mergeCell ref="K58:L58"/>
    <mergeCell ref="C59:E59"/>
    <mergeCell ref="K59:L59"/>
    <mergeCell ref="C54:E54"/>
    <mergeCell ref="K54:L54"/>
    <mergeCell ref="C55:E55"/>
    <mergeCell ref="K55:L55"/>
    <mergeCell ref="C56:E56"/>
    <mergeCell ref="K56:L56"/>
    <mergeCell ref="B76:L76"/>
    <mergeCell ref="B66:C66"/>
    <mergeCell ref="B64:C64"/>
    <mergeCell ref="D64:E64"/>
    <mergeCell ref="B65:C65"/>
    <mergeCell ref="K63:L63"/>
    <mergeCell ref="C60:E60"/>
    <mergeCell ref="K60:L60"/>
    <mergeCell ref="C61:E61"/>
    <mergeCell ref="K61:L61"/>
    <mergeCell ref="K62:L62"/>
    <mergeCell ref="I63:J63"/>
    <mergeCell ref="G64:L64"/>
    <mergeCell ref="G65:I65"/>
    <mergeCell ref="K65:L65"/>
    <mergeCell ref="D66:L66"/>
    <mergeCell ref="B68:L68"/>
    <mergeCell ref="B70:L70"/>
    <mergeCell ref="B71:L71"/>
    <mergeCell ref="B74:L74"/>
    <mergeCell ref="B75:L75"/>
    <mergeCell ref="B63:H63"/>
    <mergeCell ref="B62:H62"/>
    <mergeCell ref="I62:J62"/>
    <mergeCell ref="C51:E51"/>
    <mergeCell ref="K51:L51"/>
    <mergeCell ref="C52:E52"/>
    <mergeCell ref="K52:L52"/>
    <mergeCell ref="C53:E53"/>
    <mergeCell ref="K53:L53"/>
    <mergeCell ref="C48:E48"/>
    <mergeCell ref="K48:L48"/>
    <mergeCell ref="C49:E49"/>
    <mergeCell ref="K49:L49"/>
    <mergeCell ref="C50:E50"/>
    <mergeCell ref="K50:L50"/>
    <mergeCell ref="C45:E45"/>
    <mergeCell ref="K45:L45"/>
    <mergeCell ref="C46:E46"/>
    <mergeCell ref="K46:L46"/>
    <mergeCell ref="C47:E47"/>
    <mergeCell ref="K47:L47"/>
    <mergeCell ref="C42:E42"/>
    <mergeCell ref="K42:L42"/>
    <mergeCell ref="C43:E43"/>
    <mergeCell ref="K43:L43"/>
    <mergeCell ref="C44:E44"/>
    <mergeCell ref="K44:L44"/>
    <mergeCell ref="C39:E39"/>
    <mergeCell ref="K39:L39"/>
    <mergeCell ref="C40:E40"/>
    <mergeCell ref="K40:L40"/>
    <mergeCell ref="C41:E41"/>
    <mergeCell ref="K41:L41"/>
    <mergeCell ref="C36:E36"/>
    <mergeCell ref="K36:L36"/>
    <mergeCell ref="C37:E37"/>
    <mergeCell ref="K37:L37"/>
    <mergeCell ref="C38:E38"/>
    <mergeCell ref="K38:L38"/>
    <mergeCell ref="C34:E34"/>
    <mergeCell ref="K34:L34"/>
    <mergeCell ref="C35:E35"/>
    <mergeCell ref="K35:L35"/>
    <mergeCell ref="C30:E30"/>
    <mergeCell ref="K30:L30"/>
    <mergeCell ref="C31:E31"/>
    <mergeCell ref="K31:L31"/>
    <mergeCell ref="C32:E32"/>
    <mergeCell ref="K32:L32"/>
    <mergeCell ref="C20:E20"/>
    <mergeCell ref="K20:L20"/>
    <mergeCell ref="C29:E29"/>
    <mergeCell ref="K29:L29"/>
    <mergeCell ref="C25:E25"/>
    <mergeCell ref="K25:L25"/>
    <mergeCell ref="C26:E26"/>
    <mergeCell ref="K26:L26"/>
    <mergeCell ref="C33:E33"/>
    <mergeCell ref="K33:L33"/>
    <mergeCell ref="C27:E27"/>
    <mergeCell ref="K27:L27"/>
    <mergeCell ref="C28:E28"/>
    <mergeCell ref="K28:L28"/>
    <mergeCell ref="C24:E24"/>
    <mergeCell ref="K24:L24"/>
    <mergeCell ref="C21:E21"/>
    <mergeCell ref="K21:L21"/>
    <mergeCell ref="C22:E22"/>
    <mergeCell ref="K22:L22"/>
    <mergeCell ref="C23:E23"/>
    <mergeCell ref="K23:L23"/>
    <mergeCell ref="K18:L18"/>
    <mergeCell ref="C19:E19"/>
    <mergeCell ref="K19:L19"/>
    <mergeCell ref="G7:H7"/>
    <mergeCell ref="I8:L8"/>
    <mergeCell ref="B9:L9"/>
    <mergeCell ref="C15:E15"/>
    <mergeCell ref="K15:L15"/>
    <mergeCell ref="C16:E16"/>
    <mergeCell ref="K16:L16"/>
    <mergeCell ref="C17:E17"/>
    <mergeCell ref="K17:L17"/>
    <mergeCell ref="C12:E12"/>
    <mergeCell ref="K12:L12"/>
    <mergeCell ref="C11:E11"/>
    <mergeCell ref="K11:L11"/>
    <mergeCell ref="B1:L1"/>
    <mergeCell ref="B78:L78"/>
    <mergeCell ref="K3:K5"/>
    <mergeCell ref="L4:L5"/>
    <mergeCell ref="B6:C6"/>
    <mergeCell ref="D6:E6"/>
    <mergeCell ref="J6:L6"/>
    <mergeCell ref="J7:L7"/>
    <mergeCell ref="C10:E10"/>
    <mergeCell ref="K10:L10"/>
    <mergeCell ref="C13:E13"/>
    <mergeCell ref="K13:L13"/>
    <mergeCell ref="B3:J4"/>
    <mergeCell ref="B5:J5"/>
    <mergeCell ref="G6:H6"/>
    <mergeCell ref="C14:E14"/>
    <mergeCell ref="K14:L14"/>
    <mergeCell ref="B7:C7"/>
    <mergeCell ref="D7:E7"/>
    <mergeCell ref="B8:C8"/>
    <mergeCell ref="E8:H8"/>
    <mergeCell ref="C18:E18"/>
  </mergeCells>
  <phoneticPr fontId="4" type="noConversion"/>
  <dataValidations disablePrompts="1" count="1">
    <dataValidation type="list" allowBlank="1" showDropDown="1" showInputMessage="1" showErrorMessage="1" sqref="J2:L2" xr:uid="{C71CB713-F178-4914-A531-85C254662195}">
      <formula1>"마지막 업데이트: 2025-02-07"</formula1>
    </dataValidation>
  </dataValidations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4AC4-3D5C-4891-B04B-A518D1D1BEA1}">
  <dimension ref="B2:D13"/>
  <sheetViews>
    <sheetView workbookViewId="0">
      <selection activeCell="B2" sqref="B2:D13"/>
    </sheetView>
  </sheetViews>
  <sheetFormatPr defaultRowHeight="16.5" x14ac:dyDescent="0.3"/>
  <sheetData>
    <row r="2" spans="2:4" ht="51" customHeight="1" x14ac:dyDescent="0.3">
      <c r="B2" s="43" t="s">
        <v>24</v>
      </c>
      <c r="C2" s="44"/>
      <c r="D2" s="44"/>
    </row>
    <row r="3" spans="2:4" ht="51" customHeight="1" x14ac:dyDescent="0.3">
      <c r="B3" s="43" t="s">
        <v>25</v>
      </c>
      <c r="C3" s="44"/>
      <c r="D3" s="44"/>
    </row>
    <row r="4" spans="2:4" ht="51" customHeight="1" x14ac:dyDescent="0.3">
      <c r="B4" s="43" t="s">
        <v>26</v>
      </c>
      <c r="C4" s="44"/>
      <c r="D4" s="44"/>
    </row>
    <row r="5" spans="2:4" ht="51" customHeight="1" x14ac:dyDescent="0.3">
      <c r="B5" s="43" t="s">
        <v>27</v>
      </c>
      <c r="C5" s="44"/>
      <c r="D5" s="44"/>
    </row>
    <row r="6" spans="2:4" ht="51" customHeight="1" x14ac:dyDescent="0.3">
      <c r="B6" s="43" t="s">
        <v>28</v>
      </c>
      <c r="C6" s="44"/>
      <c r="D6" s="44"/>
    </row>
    <row r="7" spans="2:4" ht="51" customHeight="1" x14ac:dyDescent="0.3">
      <c r="B7" s="43" t="s">
        <v>29</v>
      </c>
      <c r="C7" s="44"/>
      <c r="D7" s="44"/>
    </row>
    <row r="8" spans="2:4" ht="51" customHeight="1" x14ac:dyDescent="0.3">
      <c r="B8" s="43" t="s">
        <v>30</v>
      </c>
      <c r="C8" s="44"/>
      <c r="D8" s="44"/>
    </row>
    <row r="9" spans="2:4" ht="51" customHeight="1" x14ac:dyDescent="0.3">
      <c r="B9" s="43" t="s">
        <v>31</v>
      </c>
      <c r="C9" s="44"/>
      <c r="D9" s="44"/>
    </row>
    <row r="10" spans="2:4" ht="51" customHeight="1" x14ac:dyDescent="0.3">
      <c r="B10" s="43" t="s">
        <v>32</v>
      </c>
      <c r="C10" s="44"/>
      <c r="D10" s="44"/>
    </row>
    <row r="11" spans="2:4" ht="51" customHeight="1" x14ac:dyDescent="0.3">
      <c r="B11" s="43" t="s">
        <v>33</v>
      </c>
      <c r="C11" s="44"/>
      <c r="D11" s="44"/>
    </row>
    <row r="12" spans="2:4" ht="51" customHeight="1" x14ac:dyDescent="0.3">
      <c r="B12" s="43" t="s">
        <v>34</v>
      </c>
      <c r="C12" s="44"/>
      <c r="D12" s="44"/>
    </row>
    <row r="13" spans="2:4" ht="51" customHeight="1" x14ac:dyDescent="0.3">
      <c r="B13" s="43" t="s">
        <v>25</v>
      </c>
      <c r="C13" s="44"/>
      <c r="D13" s="44"/>
    </row>
  </sheetData>
  <mergeCells count="12">
    <mergeCell ref="B13:D13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 지출결의서</vt:lpstr>
      <vt:lpstr>Sheet1</vt:lpstr>
      <vt:lpstr>'2026 지출결의서'!Print_Area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익진</dc:creator>
  <cp:lastModifiedBy>김세희(총무팀)</cp:lastModifiedBy>
  <dcterms:created xsi:type="dcterms:W3CDTF">2025-01-10T00:39:36Z</dcterms:created>
  <dcterms:modified xsi:type="dcterms:W3CDTF">2026-08-21T05:49:26Z</dcterms:modified>
</cp:coreProperties>
</file>